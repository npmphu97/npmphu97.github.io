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npmph\Downloads\"/>
    </mc:Choice>
  </mc:AlternateContent>
  <xr:revisionPtr revIDLastSave="0" documentId="13_ncr:1_{484D1D9E-3454-4EFB-974D-FAB6DC29AB15}" xr6:coauthVersionLast="47" xr6:coauthVersionMax="47" xr10:uidLastSave="{00000000-0000-0000-0000-000000000000}"/>
  <bookViews>
    <workbookView xWindow="-120" yWindow="-120" windowWidth="38640" windowHeight="21120" activeTab="3" xr2:uid="{00000000-000D-0000-FFFF-FFFF00000000}"/>
  </bookViews>
  <sheets>
    <sheet name="Hướng dẫn" sheetId="1" r:id="rId1"/>
    <sheet name="Bảng giá đề xuất" sheetId="2" r:id="rId2"/>
    <sheet name="Thông số" sheetId="3" r:id="rId3"/>
    <sheet name="Hạng mục" sheetId="4" r:id="rId4"/>
    <sheet name="Gói cấp độ" sheetId="5" r:id="rId5"/>
    <sheet name="So sánh gói" sheetId="6" r:id="rId6"/>
    <sheet name="Tổng hợp gói" sheetId="7" r:id="rId7"/>
    <sheet name="Vận hành" sheetId="8" r:id="rId8"/>
    <sheet name="Báo giá khách" sheetId="9" r:id="rId9"/>
    <sheet name="TT Anh ngữ ABC - Báo giá" sheetId="10" r:id="rId10"/>
    <sheet name="TT Anh ngữ ABC - Chi tiết" sheetId="11" r:id="rId11"/>
  </sheets>
  <definedNames>
    <definedName name="_xlnm._FilterDatabase" localSheetId="3" hidden="1">'Hạng mục'!$A$5:$V$76</definedName>
    <definedName name="_xlnm._FilterDatabase" localSheetId="10" hidden="1">'TT Anh ngữ ABC - Chi tiết'!$A$5:$K$76</definedName>
  </definedNames>
  <calcPr calcId="191029"/>
</workbook>
</file>

<file path=xl/calcChain.xml><?xml version="1.0" encoding="utf-8"?>
<calcChain xmlns="http://schemas.openxmlformats.org/spreadsheetml/2006/main">
  <c r="E26" i="6" l="1"/>
  <c r="E27" i="6"/>
  <c r="E28" i="6"/>
  <c r="G5" i="6"/>
  <c r="H5" i="6"/>
  <c r="E6" i="6"/>
  <c r="K77" i="11"/>
  <c r="F76" i="11"/>
  <c r="H76" i="11" s="1"/>
  <c r="E76" i="11"/>
  <c r="D76" i="11"/>
  <c r="C76" i="11"/>
  <c r="F75" i="11"/>
  <c r="H75" i="11" s="1"/>
  <c r="E75" i="11"/>
  <c r="D75" i="11"/>
  <c r="C75" i="11"/>
  <c r="F74" i="11"/>
  <c r="H74" i="11" s="1"/>
  <c r="E74" i="11"/>
  <c r="D74" i="11"/>
  <c r="C74" i="11"/>
  <c r="F73" i="11"/>
  <c r="H73" i="11" s="1"/>
  <c r="E73" i="11"/>
  <c r="D73" i="11"/>
  <c r="C73" i="11"/>
  <c r="F72" i="11"/>
  <c r="H72" i="11" s="1"/>
  <c r="E72" i="11"/>
  <c r="D72" i="11"/>
  <c r="C72" i="11"/>
  <c r="F71" i="11"/>
  <c r="H71" i="11" s="1"/>
  <c r="E71" i="11"/>
  <c r="D71" i="11"/>
  <c r="C71" i="11"/>
  <c r="F70" i="11"/>
  <c r="H70" i="11" s="1"/>
  <c r="E70" i="11"/>
  <c r="D70" i="11"/>
  <c r="C70" i="11"/>
  <c r="F69" i="11"/>
  <c r="H69" i="11" s="1"/>
  <c r="E69" i="11"/>
  <c r="D69" i="11"/>
  <c r="C69" i="11"/>
  <c r="F68" i="11"/>
  <c r="H68" i="11" s="1"/>
  <c r="E68" i="11"/>
  <c r="D68" i="11"/>
  <c r="C68" i="11"/>
  <c r="F67" i="11"/>
  <c r="H67" i="11" s="1"/>
  <c r="E67" i="11"/>
  <c r="D67" i="11"/>
  <c r="C67" i="11"/>
  <c r="F66" i="11"/>
  <c r="H66" i="11" s="1"/>
  <c r="E66" i="11"/>
  <c r="D66" i="11"/>
  <c r="C66" i="11"/>
  <c r="I65" i="11"/>
  <c r="F65" i="11"/>
  <c r="H65" i="11" s="1"/>
  <c r="J65" i="11" s="1"/>
  <c r="E65" i="11"/>
  <c r="D65" i="11"/>
  <c r="C65" i="11"/>
  <c r="I64" i="11"/>
  <c r="F64" i="11"/>
  <c r="H64" i="11" s="1"/>
  <c r="J64" i="11" s="1"/>
  <c r="E64" i="11"/>
  <c r="D64" i="11"/>
  <c r="C64" i="11"/>
  <c r="I63" i="11"/>
  <c r="F63" i="11"/>
  <c r="H63" i="11" s="1"/>
  <c r="J63" i="11" s="1"/>
  <c r="E63" i="11"/>
  <c r="D63" i="11"/>
  <c r="C63" i="11"/>
  <c r="F62" i="11"/>
  <c r="H62" i="11" s="1"/>
  <c r="E62" i="11"/>
  <c r="D62" i="11"/>
  <c r="C62" i="11"/>
  <c r="F61" i="11"/>
  <c r="H61" i="11" s="1"/>
  <c r="E61" i="11"/>
  <c r="D61" i="11"/>
  <c r="C61" i="11"/>
  <c r="F60" i="11"/>
  <c r="H60" i="11" s="1"/>
  <c r="E60" i="11"/>
  <c r="D60" i="11"/>
  <c r="C60" i="11"/>
  <c r="F59" i="11"/>
  <c r="H59" i="11" s="1"/>
  <c r="E59" i="11"/>
  <c r="D59" i="11"/>
  <c r="C59" i="11"/>
  <c r="I58" i="11"/>
  <c r="F58" i="11"/>
  <c r="H58" i="11" s="1"/>
  <c r="J58" i="11" s="1"/>
  <c r="E58" i="11"/>
  <c r="D58" i="11"/>
  <c r="C58" i="11"/>
  <c r="I57" i="11"/>
  <c r="F57" i="11"/>
  <c r="H57" i="11" s="1"/>
  <c r="J57" i="11" s="1"/>
  <c r="E57" i="11"/>
  <c r="D57" i="11"/>
  <c r="C57" i="11"/>
  <c r="I56" i="11"/>
  <c r="F56" i="11"/>
  <c r="H56" i="11" s="1"/>
  <c r="J56" i="11" s="1"/>
  <c r="E56" i="11"/>
  <c r="D56" i="11"/>
  <c r="C56" i="11"/>
  <c r="I55" i="11"/>
  <c r="F55" i="11"/>
  <c r="H55" i="11" s="1"/>
  <c r="J55" i="11" s="1"/>
  <c r="E55" i="11"/>
  <c r="D55" i="11"/>
  <c r="C55" i="11"/>
  <c r="I54" i="11"/>
  <c r="F54" i="11"/>
  <c r="H54" i="11" s="1"/>
  <c r="J54" i="11" s="1"/>
  <c r="E54" i="11"/>
  <c r="D54" i="11"/>
  <c r="C54" i="11"/>
  <c r="F53" i="11"/>
  <c r="H53" i="11" s="1"/>
  <c r="E53" i="11"/>
  <c r="D53" i="11"/>
  <c r="C53" i="11"/>
  <c r="F52" i="11"/>
  <c r="H52" i="11" s="1"/>
  <c r="E52" i="11"/>
  <c r="D52" i="11"/>
  <c r="C52" i="11"/>
  <c r="I51" i="11"/>
  <c r="F51" i="11"/>
  <c r="H51" i="11" s="1"/>
  <c r="J51" i="11" s="1"/>
  <c r="E51" i="11"/>
  <c r="D51" i="11"/>
  <c r="C51" i="11"/>
  <c r="I50" i="11"/>
  <c r="F50" i="11"/>
  <c r="H50" i="11" s="1"/>
  <c r="J50" i="11" s="1"/>
  <c r="E50" i="11"/>
  <c r="D50" i="11"/>
  <c r="C50" i="11"/>
  <c r="I49" i="11"/>
  <c r="F49" i="11"/>
  <c r="H49" i="11" s="1"/>
  <c r="J49" i="11" s="1"/>
  <c r="E49" i="11"/>
  <c r="D49" i="11"/>
  <c r="C49" i="11"/>
  <c r="F48" i="11"/>
  <c r="H48" i="11" s="1"/>
  <c r="E48" i="11"/>
  <c r="D48" i="11"/>
  <c r="C48" i="11"/>
  <c r="H47" i="11"/>
  <c r="F47" i="11"/>
  <c r="E47" i="11"/>
  <c r="D47" i="11"/>
  <c r="C47" i="11"/>
  <c r="F46" i="11"/>
  <c r="H46" i="11" s="1"/>
  <c r="E46" i="11"/>
  <c r="D46" i="11"/>
  <c r="C46" i="11"/>
  <c r="H45" i="11"/>
  <c r="F45" i="11"/>
  <c r="E45" i="11"/>
  <c r="D45" i="11"/>
  <c r="C45" i="11"/>
  <c r="F44" i="11"/>
  <c r="H44" i="11" s="1"/>
  <c r="E44" i="11"/>
  <c r="D44" i="11"/>
  <c r="C44" i="11"/>
  <c r="F43" i="11"/>
  <c r="H43" i="11" s="1"/>
  <c r="E43" i="11"/>
  <c r="D43" i="11"/>
  <c r="C43" i="11"/>
  <c r="I42" i="11"/>
  <c r="F42" i="11"/>
  <c r="H42" i="11" s="1"/>
  <c r="E42" i="11"/>
  <c r="D42" i="11"/>
  <c r="C42" i="11"/>
  <c r="F41" i="11"/>
  <c r="H41" i="11" s="1"/>
  <c r="E41" i="11"/>
  <c r="D41" i="11"/>
  <c r="C41" i="11"/>
  <c r="F40" i="11"/>
  <c r="H40" i="11" s="1"/>
  <c r="E40" i="11"/>
  <c r="D40" i="11"/>
  <c r="C40" i="11"/>
  <c r="F39" i="11"/>
  <c r="H39" i="11" s="1"/>
  <c r="E39" i="11"/>
  <c r="D39" i="11"/>
  <c r="C39" i="11"/>
  <c r="F38" i="11"/>
  <c r="H38" i="11" s="1"/>
  <c r="E38" i="11"/>
  <c r="D38" i="11"/>
  <c r="C38" i="11"/>
  <c r="F37" i="11"/>
  <c r="H37" i="11" s="1"/>
  <c r="E37" i="11"/>
  <c r="D37" i="11"/>
  <c r="C37" i="11"/>
  <c r="F36" i="11"/>
  <c r="H36" i="11" s="1"/>
  <c r="E36" i="11"/>
  <c r="D36" i="11"/>
  <c r="C36" i="11"/>
  <c r="F35" i="11"/>
  <c r="H35" i="11" s="1"/>
  <c r="E35" i="11"/>
  <c r="D35" i="11"/>
  <c r="C35" i="11"/>
  <c r="I34" i="11"/>
  <c r="F34" i="11"/>
  <c r="H34" i="11" s="1"/>
  <c r="J34" i="11" s="1"/>
  <c r="E34" i="11"/>
  <c r="D34" i="11"/>
  <c r="C34" i="11"/>
  <c r="I33" i="11"/>
  <c r="F33" i="11"/>
  <c r="H33" i="11" s="1"/>
  <c r="J33" i="11" s="1"/>
  <c r="E33" i="11"/>
  <c r="D33" i="11"/>
  <c r="C33" i="11"/>
  <c r="F32" i="11"/>
  <c r="H32" i="11" s="1"/>
  <c r="E32" i="11"/>
  <c r="D32" i="11"/>
  <c r="C32" i="11"/>
  <c r="F31" i="11"/>
  <c r="H31" i="11" s="1"/>
  <c r="E31" i="11"/>
  <c r="D31" i="11"/>
  <c r="C31" i="11"/>
  <c r="F30" i="11"/>
  <c r="H30" i="11" s="1"/>
  <c r="E30" i="11"/>
  <c r="D30" i="11"/>
  <c r="C30" i="11"/>
  <c r="F29" i="11"/>
  <c r="H29" i="11" s="1"/>
  <c r="E29" i="11"/>
  <c r="D29" i="11"/>
  <c r="C29" i="11"/>
  <c r="F28" i="11"/>
  <c r="H28" i="11" s="1"/>
  <c r="E28" i="11"/>
  <c r="D28" i="11"/>
  <c r="C28" i="11"/>
  <c r="F27" i="11"/>
  <c r="H27" i="11" s="1"/>
  <c r="E27" i="11"/>
  <c r="D27" i="11"/>
  <c r="C27" i="11"/>
  <c r="F26" i="11"/>
  <c r="H26" i="11" s="1"/>
  <c r="E26" i="11"/>
  <c r="D26" i="11"/>
  <c r="C26" i="11"/>
  <c r="F25" i="11"/>
  <c r="H25" i="11" s="1"/>
  <c r="E25" i="11"/>
  <c r="D25" i="11"/>
  <c r="C25" i="11"/>
  <c r="F24" i="11"/>
  <c r="H24" i="11" s="1"/>
  <c r="E24" i="11"/>
  <c r="D24" i="11"/>
  <c r="C24" i="11"/>
  <c r="F23" i="11"/>
  <c r="H23" i="11" s="1"/>
  <c r="E23" i="11"/>
  <c r="D23" i="11"/>
  <c r="C23" i="11"/>
  <c r="F22" i="11"/>
  <c r="H22" i="11" s="1"/>
  <c r="E22" i="11"/>
  <c r="D22" i="11"/>
  <c r="C22" i="11"/>
  <c r="F21" i="11"/>
  <c r="H21" i="11" s="1"/>
  <c r="E21" i="11"/>
  <c r="D21" i="11"/>
  <c r="C21" i="11"/>
  <c r="F20" i="11"/>
  <c r="H20" i="11" s="1"/>
  <c r="E20" i="11"/>
  <c r="D20" i="11"/>
  <c r="C20" i="11"/>
  <c r="F19" i="11"/>
  <c r="H19" i="11" s="1"/>
  <c r="E19" i="11"/>
  <c r="D19" i="11"/>
  <c r="C19" i="11"/>
  <c r="F18" i="11"/>
  <c r="H18" i="11" s="1"/>
  <c r="E18" i="11"/>
  <c r="D18" i="11"/>
  <c r="C18" i="11"/>
  <c r="F17" i="11"/>
  <c r="H17" i="11" s="1"/>
  <c r="E17" i="11"/>
  <c r="D17" i="11"/>
  <c r="C17" i="11"/>
  <c r="F16" i="11"/>
  <c r="H16" i="11" s="1"/>
  <c r="E16" i="11"/>
  <c r="D16" i="11"/>
  <c r="C16" i="11"/>
  <c r="F15" i="11"/>
  <c r="H15" i="11" s="1"/>
  <c r="E15" i="11"/>
  <c r="D15" i="11"/>
  <c r="C15" i="11"/>
  <c r="F14" i="11"/>
  <c r="H14" i="11" s="1"/>
  <c r="E14" i="11"/>
  <c r="D14" i="11"/>
  <c r="C14" i="11"/>
  <c r="F13" i="11"/>
  <c r="H13" i="11" s="1"/>
  <c r="E13" i="11"/>
  <c r="D13" i="11"/>
  <c r="C13" i="11"/>
  <c r="F12" i="11"/>
  <c r="H12" i="11" s="1"/>
  <c r="E12" i="11"/>
  <c r="D12" i="11"/>
  <c r="C12" i="11"/>
  <c r="F11" i="11"/>
  <c r="H11" i="11" s="1"/>
  <c r="E11" i="11"/>
  <c r="D11" i="11"/>
  <c r="C11" i="11"/>
  <c r="F10" i="11"/>
  <c r="H10" i="11" s="1"/>
  <c r="E10" i="11"/>
  <c r="D10" i="11"/>
  <c r="C10" i="11"/>
  <c r="F9" i="11"/>
  <c r="H9" i="11" s="1"/>
  <c r="E9" i="11"/>
  <c r="D9" i="11"/>
  <c r="C9" i="11"/>
  <c r="F8" i="11"/>
  <c r="H8" i="11" s="1"/>
  <c r="E8" i="11"/>
  <c r="D8" i="11"/>
  <c r="C8" i="11"/>
  <c r="F7" i="11"/>
  <c r="H7" i="11" s="1"/>
  <c r="E7" i="11"/>
  <c r="D7" i="11"/>
  <c r="C7" i="11"/>
  <c r="F6" i="11"/>
  <c r="H6" i="11" s="1"/>
  <c r="E6" i="11"/>
  <c r="D6" i="11"/>
  <c r="C6" i="11"/>
  <c r="A72" i="10"/>
  <c r="A71" i="10"/>
  <c r="A70" i="10"/>
  <c r="C64" i="10"/>
  <c r="B64" i="10"/>
  <c r="A64" i="10"/>
  <c r="C63" i="10"/>
  <c r="B63" i="10"/>
  <c r="A63" i="10"/>
  <c r="C62" i="10"/>
  <c r="B62" i="10"/>
  <c r="A62" i="10"/>
  <c r="C61" i="10"/>
  <c r="B61" i="10"/>
  <c r="A61" i="10"/>
  <c r="C60" i="10"/>
  <c r="B60" i="10"/>
  <c r="A60" i="10"/>
  <c r="C59" i="10"/>
  <c r="B59" i="10"/>
  <c r="A59" i="10"/>
  <c r="C58" i="10"/>
  <c r="B58" i="10"/>
  <c r="A58" i="10"/>
  <c r="C57" i="10"/>
  <c r="B57" i="10"/>
  <c r="A57" i="10"/>
  <c r="C56" i="10"/>
  <c r="B56" i="10"/>
  <c r="A56" i="10"/>
  <c r="C55" i="10"/>
  <c r="B55" i="10"/>
  <c r="A55" i="10"/>
  <c r="C54" i="10"/>
  <c r="B54" i="10"/>
  <c r="A54" i="10"/>
  <c r="C53" i="10"/>
  <c r="B53" i="10"/>
  <c r="A53" i="10"/>
  <c r="C52" i="10"/>
  <c r="B52" i="10"/>
  <c r="A52" i="10"/>
  <c r="C51" i="10"/>
  <c r="B51" i="10"/>
  <c r="A51" i="10"/>
  <c r="C50" i="10"/>
  <c r="B50" i="10"/>
  <c r="A50" i="10"/>
  <c r="A48" i="10"/>
  <c r="C45" i="10"/>
  <c r="C44" i="10"/>
  <c r="C43" i="10"/>
  <c r="C46" i="10" s="1"/>
  <c r="C32" i="10"/>
  <c r="C31" i="10"/>
  <c r="C30" i="10"/>
  <c r="C29" i="10"/>
  <c r="C28" i="10"/>
  <c r="C27" i="10"/>
  <c r="C26" i="10"/>
  <c r="C25" i="10"/>
  <c r="C24" i="10"/>
  <c r="C23" i="10"/>
  <c r="C22" i="10"/>
  <c r="C21" i="10"/>
  <c r="C33" i="10" s="1"/>
  <c r="B8" i="10"/>
  <c r="B49" i="9"/>
  <c r="B48" i="9"/>
  <c r="B47" i="9"/>
  <c r="B44" i="9"/>
  <c r="C37" i="9"/>
  <c r="C36" i="9"/>
  <c r="C35" i="9"/>
  <c r="C38" i="9" s="1"/>
  <c r="C21" i="9"/>
  <c r="C20" i="9"/>
  <c r="C19" i="9"/>
  <c r="C18" i="9"/>
  <c r="C17" i="9"/>
  <c r="C16" i="9"/>
  <c r="B7" i="9"/>
  <c r="E20" i="8"/>
  <c r="D19" i="8"/>
  <c r="E19" i="8" s="1"/>
  <c r="D18" i="8"/>
  <c r="E18" i="8" s="1"/>
  <c r="E17" i="8"/>
  <c r="E16" i="8"/>
  <c r="E15" i="8"/>
  <c r="E14" i="8"/>
  <c r="E13" i="8"/>
  <c r="E12" i="8"/>
  <c r="E11" i="8"/>
  <c r="E10" i="8"/>
  <c r="E9" i="8"/>
  <c r="E8" i="8"/>
  <c r="E7" i="8"/>
  <c r="E6" i="8"/>
  <c r="G32" i="7"/>
  <c r="F32" i="7"/>
  <c r="E32" i="7"/>
  <c r="D32" i="7"/>
  <c r="C32" i="7"/>
  <c r="B32" i="7"/>
  <c r="G25" i="7"/>
  <c r="G27" i="7" s="1"/>
  <c r="F25" i="7"/>
  <c r="F27" i="7" s="1"/>
  <c r="E25" i="7"/>
  <c r="E27" i="7" s="1"/>
  <c r="D25" i="7"/>
  <c r="D27" i="7" s="1"/>
  <c r="C25" i="7"/>
  <c r="C27" i="7" s="1"/>
  <c r="B25" i="7"/>
  <c r="B27" i="7" s="1"/>
  <c r="J28" i="6"/>
  <c r="I28" i="6"/>
  <c r="H28" i="6"/>
  <c r="G28" i="6"/>
  <c r="F28" i="6"/>
  <c r="J27" i="6"/>
  <c r="I27" i="6"/>
  <c r="H27" i="6"/>
  <c r="G27" i="6"/>
  <c r="F27" i="6"/>
  <c r="J26" i="6"/>
  <c r="I26" i="6"/>
  <c r="H26" i="6"/>
  <c r="G26" i="6"/>
  <c r="F26" i="6"/>
  <c r="J25" i="6"/>
  <c r="I25" i="6"/>
  <c r="H25" i="6"/>
  <c r="G25" i="6"/>
  <c r="F25" i="6"/>
  <c r="E25" i="6"/>
  <c r="J24" i="6"/>
  <c r="I24" i="6"/>
  <c r="H24" i="6"/>
  <c r="G24" i="6"/>
  <c r="F24" i="6"/>
  <c r="E24" i="6"/>
  <c r="J23" i="6"/>
  <c r="I23" i="6"/>
  <c r="H23" i="6"/>
  <c r="G23" i="6"/>
  <c r="F23" i="6"/>
  <c r="E23" i="6"/>
  <c r="J22" i="6"/>
  <c r="I22" i="6"/>
  <c r="H22" i="6"/>
  <c r="G22" i="6"/>
  <c r="F22" i="6"/>
  <c r="E22" i="6"/>
  <c r="J21" i="6"/>
  <c r="I21" i="6"/>
  <c r="H21" i="6"/>
  <c r="G21" i="6"/>
  <c r="F21" i="6"/>
  <c r="E21" i="6"/>
  <c r="J20" i="6"/>
  <c r="I20" i="6"/>
  <c r="H20" i="6"/>
  <c r="G20" i="6"/>
  <c r="F20" i="6"/>
  <c r="E20" i="6"/>
  <c r="J19" i="6"/>
  <c r="I19" i="6"/>
  <c r="H19" i="6"/>
  <c r="G19" i="6"/>
  <c r="F19" i="6"/>
  <c r="E19" i="6"/>
  <c r="J18" i="6"/>
  <c r="I18" i="6"/>
  <c r="H18" i="6"/>
  <c r="G18" i="6"/>
  <c r="F18" i="6"/>
  <c r="E18" i="6"/>
  <c r="J17" i="6"/>
  <c r="I17" i="6"/>
  <c r="H17" i="6"/>
  <c r="G17" i="6"/>
  <c r="F17" i="6"/>
  <c r="E17" i="6"/>
  <c r="J16" i="6"/>
  <c r="I16" i="6"/>
  <c r="H16" i="6"/>
  <c r="G16" i="6"/>
  <c r="F16" i="6"/>
  <c r="E16" i="6"/>
  <c r="J15" i="6"/>
  <c r="I15" i="6"/>
  <c r="H15" i="6"/>
  <c r="G15" i="6"/>
  <c r="F15" i="6"/>
  <c r="E15" i="6"/>
  <c r="J14" i="6"/>
  <c r="I14" i="6"/>
  <c r="H14" i="6"/>
  <c r="G14" i="6"/>
  <c r="F14" i="6"/>
  <c r="E14" i="6"/>
  <c r="J13" i="6"/>
  <c r="I13" i="6"/>
  <c r="H13" i="6"/>
  <c r="G13" i="6"/>
  <c r="F13" i="6"/>
  <c r="E13" i="6"/>
  <c r="J12" i="6"/>
  <c r="I12" i="6"/>
  <c r="H12" i="6"/>
  <c r="G12" i="6"/>
  <c r="F12" i="6"/>
  <c r="E12" i="6"/>
  <c r="J11" i="6"/>
  <c r="I11" i="6"/>
  <c r="H11" i="6"/>
  <c r="G11" i="6"/>
  <c r="F11" i="6"/>
  <c r="E11" i="6"/>
  <c r="J10" i="6"/>
  <c r="I10" i="6"/>
  <c r="H10" i="6"/>
  <c r="G10" i="6"/>
  <c r="F10" i="6"/>
  <c r="E10" i="6"/>
  <c r="J9" i="6"/>
  <c r="I9" i="6"/>
  <c r="H9" i="6"/>
  <c r="G9" i="6"/>
  <c r="F9" i="6"/>
  <c r="E9" i="6"/>
  <c r="J8" i="6"/>
  <c r="I8" i="6"/>
  <c r="H8" i="6"/>
  <c r="G8" i="6"/>
  <c r="F8" i="6"/>
  <c r="E8" i="6"/>
  <c r="J7" i="6"/>
  <c r="I7" i="6"/>
  <c r="H7" i="6"/>
  <c r="G7" i="6"/>
  <c r="F7" i="6"/>
  <c r="E7" i="6"/>
  <c r="J5" i="6"/>
  <c r="I5" i="6"/>
  <c r="F5" i="6"/>
  <c r="E5" i="6"/>
  <c r="H35" i="5"/>
  <c r="G35" i="5"/>
  <c r="F35" i="5"/>
  <c r="E35" i="5"/>
  <c r="H31" i="5"/>
  <c r="G31" i="5"/>
  <c r="F31" i="5"/>
  <c r="E31" i="5"/>
  <c r="H28" i="5"/>
  <c r="G28" i="5"/>
  <c r="F28" i="5"/>
  <c r="E28" i="5"/>
  <c r="H27" i="5"/>
  <c r="G27" i="5"/>
  <c r="F27" i="5"/>
  <c r="E27" i="5"/>
  <c r="H26" i="5"/>
  <c r="G26" i="5"/>
  <c r="F26" i="5"/>
  <c r="E26" i="5"/>
  <c r="H25" i="5"/>
  <c r="G25" i="5"/>
  <c r="F25" i="5"/>
  <c r="E25" i="5"/>
  <c r="H24" i="5"/>
  <c r="G24" i="5"/>
  <c r="F24" i="5"/>
  <c r="E24" i="5"/>
  <c r="H23" i="5"/>
  <c r="G23" i="5"/>
  <c r="F23" i="5"/>
  <c r="E23" i="5"/>
  <c r="H22" i="5"/>
  <c r="G22" i="5"/>
  <c r="F22" i="5"/>
  <c r="E22" i="5"/>
  <c r="H21" i="5"/>
  <c r="G21" i="5"/>
  <c r="F21" i="5"/>
  <c r="E21" i="5"/>
  <c r="H20" i="5"/>
  <c r="G20" i="5"/>
  <c r="F20" i="5"/>
  <c r="E20" i="5"/>
  <c r="H19" i="5"/>
  <c r="G19" i="5"/>
  <c r="F19" i="5"/>
  <c r="E19" i="5"/>
  <c r="H18" i="5"/>
  <c r="G18" i="5"/>
  <c r="F18" i="5"/>
  <c r="E18" i="5"/>
  <c r="H17" i="5"/>
  <c r="G17" i="5"/>
  <c r="F17" i="5"/>
  <c r="E17" i="5"/>
  <c r="H16" i="5"/>
  <c r="G16" i="5"/>
  <c r="F16" i="5"/>
  <c r="E16" i="5"/>
  <c r="H15" i="5"/>
  <c r="G15" i="5"/>
  <c r="F15" i="5"/>
  <c r="E15" i="5"/>
  <c r="H14" i="5"/>
  <c r="G14" i="5"/>
  <c r="F14" i="5"/>
  <c r="E14" i="5"/>
  <c r="H13" i="5"/>
  <c r="G13" i="5"/>
  <c r="F13" i="5"/>
  <c r="E13" i="5"/>
  <c r="H12" i="5"/>
  <c r="G12" i="5"/>
  <c r="F12" i="5"/>
  <c r="E12" i="5"/>
  <c r="H11" i="5"/>
  <c r="G11" i="5"/>
  <c r="F11" i="5"/>
  <c r="E11" i="5"/>
  <c r="H10" i="5"/>
  <c r="G10" i="5"/>
  <c r="F10" i="5"/>
  <c r="E10" i="5"/>
  <c r="H9" i="5"/>
  <c r="G9" i="5"/>
  <c r="F9" i="5"/>
  <c r="E9" i="5"/>
  <c r="H8" i="5"/>
  <c r="G8" i="5"/>
  <c r="F8" i="5"/>
  <c r="E8" i="5"/>
  <c r="H7" i="5"/>
  <c r="G7" i="5"/>
  <c r="F7" i="5"/>
  <c r="E7" i="5"/>
  <c r="H5" i="5"/>
  <c r="G5" i="5"/>
  <c r="F5" i="5"/>
  <c r="E5" i="5"/>
  <c r="O77" i="4"/>
  <c r="F77" i="4"/>
  <c r="R76" i="4"/>
  <c r="P76" i="4"/>
  <c r="G76" i="4"/>
  <c r="R75" i="4"/>
  <c r="P75" i="4"/>
  <c r="G75" i="4"/>
  <c r="R74" i="4"/>
  <c r="P74" i="4"/>
  <c r="G74" i="4"/>
  <c r="R73" i="4"/>
  <c r="P73" i="4"/>
  <c r="G73" i="4"/>
  <c r="R72" i="4"/>
  <c r="P72" i="4"/>
  <c r="G72" i="4"/>
  <c r="R71" i="4"/>
  <c r="P71" i="4"/>
  <c r="G71" i="4"/>
  <c r="R70" i="4"/>
  <c r="P70" i="4"/>
  <c r="G70" i="4"/>
  <c r="R69" i="4"/>
  <c r="P69" i="4"/>
  <c r="G69" i="4"/>
  <c r="R68" i="4"/>
  <c r="P68" i="4"/>
  <c r="C23" i="9" s="1"/>
  <c r="G68" i="4"/>
  <c r="R67" i="4"/>
  <c r="P67" i="4"/>
  <c r="G67" i="4"/>
  <c r="R66" i="4"/>
  <c r="P66" i="4"/>
  <c r="C22" i="9" s="1"/>
  <c r="G66" i="4"/>
  <c r="R65" i="4"/>
  <c r="P65" i="4"/>
  <c r="G65" i="4"/>
  <c r="H65" i="4" s="1"/>
  <c r="Q65" i="4" s="1"/>
  <c r="R64" i="4"/>
  <c r="P64" i="4"/>
  <c r="G64" i="4"/>
  <c r="H64" i="4" s="1"/>
  <c r="Q64" i="4" s="1"/>
  <c r="R63" i="4"/>
  <c r="P63" i="4"/>
  <c r="G63" i="4"/>
  <c r="H63" i="4" s="1"/>
  <c r="Q63" i="4" s="1"/>
  <c r="R62" i="4"/>
  <c r="P62" i="4"/>
  <c r="G62" i="4"/>
  <c r="R61" i="4"/>
  <c r="P61" i="4"/>
  <c r="G61" i="4"/>
  <c r="R60" i="4"/>
  <c r="P60" i="4"/>
  <c r="G60" i="4"/>
  <c r="R59" i="4"/>
  <c r="P59" i="4"/>
  <c r="G59" i="4"/>
  <c r="R58" i="4"/>
  <c r="P58" i="4"/>
  <c r="G58" i="4"/>
  <c r="H58" i="4" s="1"/>
  <c r="Q58" i="4" s="1"/>
  <c r="R57" i="4"/>
  <c r="P57" i="4"/>
  <c r="G57" i="4"/>
  <c r="H57" i="4" s="1"/>
  <c r="Q57" i="4" s="1"/>
  <c r="R56" i="4"/>
  <c r="P56" i="4"/>
  <c r="G56" i="4"/>
  <c r="H56" i="4" s="1"/>
  <c r="Q56" i="4" s="1"/>
  <c r="R55" i="4"/>
  <c r="P55" i="4"/>
  <c r="G55" i="4"/>
  <c r="H55" i="4" s="1"/>
  <c r="Q55" i="4" s="1"/>
  <c r="R54" i="4"/>
  <c r="P54" i="4"/>
  <c r="G54" i="4"/>
  <c r="H54" i="4" s="1"/>
  <c r="Q54" i="4" s="1"/>
  <c r="R53" i="4"/>
  <c r="P53" i="4"/>
  <c r="G53" i="4"/>
  <c r="R52" i="4"/>
  <c r="P52" i="4"/>
  <c r="G52" i="4"/>
  <c r="R51" i="4"/>
  <c r="P51" i="4"/>
  <c r="G51" i="4"/>
  <c r="H51" i="4" s="1"/>
  <c r="Q51" i="4" s="1"/>
  <c r="R50" i="4"/>
  <c r="P50" i="4"/>
  <c r="G50" i="4"/>
  <c r="H50" i="4" s="1"/>
  <c r="Q50" i="4" s="1"/>
  <c r="R49" i="4"/>
  <c r="P49" i="4"/>
  <c r="G49" i="4"/>
  <c r="H49" i="4" s="1"/>
  <c r="Q49" i="4" s="1"/>
  <c r="R48" i="4"/>
  <c r="P48" i="4"/>
  <c r="G48" i="4"/>
  <c r="R47" i="4"/>
  <c r="P47" i="4"/>
  <c r="G47" i="4"/>
  <c r="R46" i="4"/>
  <c r="P46" i="4"/>
  <c r="G46" i="4"/>
  <c r="R45" i="4"/>
  <c r="P45" i="4"/>
  <c r="G45" i="4"/>
  <c r="R44" i="4"/>
  <c r="P44" i="4"/>
  <c r="G44" i="4"/>
  <c r="R43" i="4"/>
  <c r="P43" i="4"/>
  <c r="G43" i="4"/>
  <c r="R42" i="4"/>
  <c r="P42" i="4"/>
  <c r="G42" i="4"/>
  <c r="H42" i="4" s="1"/>
  <c r="Q42" i="4" s="1"/>
  <c r="R41" i="4"/>
  <c r="P41" i="4"/>
  <c r="G41" i="4"/>
  <c r="R40" i="4"/>
  <c r="P40" i="4"/>
  <c r="G40" i="4"/>
  <c r="R39" i="4"/>
  <c r="P39" i="4"/>
  <c r="G39" i="4"/>
  <c r="R38" i="4"/>
  <c r="P38" i="4"/>
  <c r="G38" i="4"/>
  <c r="R37" i="4"/>
  <c r="P37" i="4"/>
  <c r="G37" i="4"/>
  <c r="R36" i="4"/>
  <c r="P36" i="4"/>
  <c r="G36" i="4"/>
  <c r="R35" i="4"/>
  <c r="P35" i="4"/>
  <c r="G35" i="4"/>
  <c r="R34" i="4"/>
  <c r="P34" i="4"/>
  <c r="G34" i="4"/>
  <c r="H34" i="4" s="1"/>
  <c r="Q34" i="4" s="1"/>
  <c r="R33" i="4"/>
  <c r="P33" i="4"/>
  <c r="G33" i="4"/>
  <c r="H33" i="4" s="1"/>
  <c r="Q33" i="4" s="1"/>
  <c r="D17" i="9" s="1"/>
  <c r="R32" i="4"/>
  <c r="P32" i="4"/>
  <c r="G32" i="4"/>
  <c r="R31" i="4"/>
  <c r="P31" i="4"/>
  <c r="G31" i="4"/>
  <c r="R30" i="4"/>
  <c r="P30" i="4"/>
  <c r="G30" i="4"/>
  <c r="R29" i="4"/>
  <c r="P29" i="4"/>
  <c r="G29" i="4"/>
  <c r="R28" i="4"/>
  <c r="P28" i="4"/>
  <c r="G28" i="4"/>
  <c r="R27" i="4"/>
  <c r="P27" i="4"/>
  <c r="G27" i="4"/>
  <c r="R26" i="4"/>
  <c r="P26" i="4"/>
  <c r="G26" i="4"/>
  <c r="R25" i="4"/>
  <c r="P25" i="4"/>
  <c r="G25" i="4"/>
  <c r="R24" i="4"/>
  <c r="P24" i="4"/>
  <c r="G24" i="4"/>
  <c r="R23" i="4"/>
  <c r="P23" i="4"/>
  <c r="G23" i="4"/>
  <c r="R22" i="4"/>
  <c r="P22" i="4"/>
  <c r="G22" i="4"/>
  <c r="R21" i="4"/>
  <c r="P21" i="4"/>
  <c r="G21" i="4"/>
  <c r="R20" i="4"/>
  <c r="P20" i="4"/>
  <c r="G20" i="4"/>
  <c r="R19" i="4"/>
  <c r="P19" i="4"/>
  <c r="G19" i="4"/>
  <c r="R18" i="4"/>
  <c r="P18" i="4"/>
  <c r="C15" i="9" s="1"/>
  <c r="G18" i="4"/>
  <c r="R17" i="4"/>
  <c r="P17" i="4"/>
  <c r="G17" i="4"/>
  <c r="R16" i="4"/>
  <c r="P16" i="4"/>
  <c r="G16" i="4"/>
  <c r="R15" i="4"/>
  <c r="P15" i="4"/>
  <c r="G15" i="4"/>
  <c r="R14" i="4"/>
  <c r="P14" i="4"/>
  <c r="G14" i="4"/>
  <c r="R13" i="4"/>
  <c r="P13" i="4"/>
  <c r="G13" i="4"/>
  <c r="R12" i="4"/>
  <c r="P12" i="4"/>
  <c r="G12" i="4"/>
  <c r="R11" i="4"/>
  <c r="P11" i="4"/>
  <c r="C14" i="9" s="1"/>
  <c r="G11" i="4"/>
  <c r="R10" i="4"/>
  <c r="P10" i="4"/>
  <c r="G10" i="4"/>
  <c r="R9" i="4"/>
  <c r="P9" i="4"/>
  <c r="G9" i="4"/>
  <c r="R8" i="4"/>
  <c r="P8" i="4"/>
  <c r="G8" i="4"/>
  <c r="R7" i="4"/>
  <c r="P7" i="4"/>
  <c r="G7" i="4"/>
  <c r="R6" i="4"/>
  <c r="P6" i="4"/>
  <c r="C13" i="9" s="1"/>
  <c r="G6" i="4"/>
  <c r="B25" i="3"/>
  <c r="G37" i="2"/>
  <c r="G36" i="2"/>
  <c r="G35" i="2"/>
  <c r="G34" i="2"/>
  <c r="G33" i="2"/>
  <c r="I29" i="2"/>
  <c r="J29" i="2" s="1"/>
  <c r="G29" i="2"/>
  <c r="I28" i="2"/>
  <c r="J28" i="2" s="1"/>
  <c r="G28" i="2"/>
  <c r="I27" i="2"/>
  <c r="J27" i="2" s="1"/>
  <c r="G27" i="2"/>
  <c r="I26" i="2"/>
  <c r="J26" i="2" s="1"/>
  <c r="G26" i="2"/>
  <c r="I25" i="2"/>
  <c r="J25" i="2" s="1"/>
  <c r="G25" i="2"/>
  <c r="I24" i="2"/>
  <c r="J24" i="2" s="1"/>
  <c r="G24" i="2"/>
  <c r="I23" i="2"/>
  <c r="J23" i="2" s="1"/>
  <c r="G23" i="2"/>
  <c r="I22" i="2"/>
  <c r="J22" i="2" s="1"/>
  <c r="G22" i="2"/>
  <c r="I21" i="2"/>
  <c r="J21" i="2" s="1"/>
  <c r="G21" i="2"/>
  <c r="I20" i="2"/>
  <c r="J20" i="2" s="1"/>
  <c r="G20" i="2"/>
  <c r="I16" i="2"/>
  <c r="J16" i="2" s="1"/>
  <c r="G16" i="2"/>
  <c r="I15" i="2"/>
  <c r="J15" i="2" s="1"/>
  <c r="G15" i="2"/>
  <c r="I14" i="2"/>
  <c r="J14" i="2" s="1"/>
  <c r="G14" i="2"/>
  <c r="I13" i="2"/>
  <c r="J13" i="2" s="1"/>
  <c r="G13" i="2"/>
  <c r="I9" i="2"/>
  <c r="J9" i="2" s="1"/>
  <c r="G9" i="2"/>
  <c r="I8" i="2"/>
  <c r="J8" i="2" s="1"/>
  <c r="G8" i="2"/>
  <c r="I7" i="2"/>
  <c r="J7" i="2" s="1"/>
  <c r="G7" i="2"/>
  <c r="I6" i="2"/>
  <c r="J6" i="2" s="1"/>
  <c r="G6" i="2"/>
  <c r="J42" i="11" l="1"/>
  <c r="I16" i="8"/>
  <c r="K16" i="8"/>
  <c r="J16" i="8"/>
  <c r="E60" i="10" s="1"/>
  <c r="H73" i="4"/>
  <c r="Q73" i="4" s="1"/>
  <c r="I73" i="11"/>
  <c r="J73" i="11" s="1"/>
  <c r="H72" i="4"/>
  <c r="Q72" i="4" s="1"/>
  <c r="I72" i="11"/>
  <c r="J72" i="11" s="1"/>
  <c r="H71" i="4"/>
  <c r="Q71" i="4" s="1"/>
  <c r="I71" i="11"/>
  <c r="J71" i="11" s="1"/>
  <c r="H70" i="4"/>
  <c r="Q70" i="4" s="1"/>
  <c r="I70" i="11"/>
  <c r="J70" i="11" s="1"/>
  <c r="H69" i="4"/>
  <c r="Q69" i="4" s="1"/>
  <c r="I69" i="11"/>
  <c r="J69" i="11" s="1"/>
  <c r="H68" i="4"/>
  <c r="Q68" i="4" s="1"/>
  <c r="D23" i="9" s="1"/>
  <c r="I68" i="11"/>
  <c r="J68" i="11" s="1"/>
  <c r="H67" i="4"/>
  <c r="Q67" i="4" s="1"/>
  <c r="I67" i="11"/>
  <c r="J67" i="11" s="1"/>
  <c r="H66" i="4"/>
  <c r="Q66" i="4" s="1"/>
  <c r="D22" i="9" s="1"/>
  <c r="I66" i="11"/>
  <c r="J66" i="11" s="1"/>
  <c r="E30" i="10" s="1"/>
  <c r="H53" i="4"/>
  <c r="Q53" i="4" s="1"/>
  <c r="I53" i="11"/>
  <c r="J53" i="11" s="1"/>
  <c r="H52" i="4"/>
  <c r="Q52" i="4" s="1"/>
  <c r="I52" i="11"/>
  <c r="J52" i="11" s="1"/>
  <c r="E28" i="10" s="1"/>
  <c r="H41" i="4"/>
  <c r="Q41" i="4" s="1"/>
  <c r="I41" i="11"/>
  <c r="J41" i="11" s="1"/>
  <c r="H40" i="4"/>
  <c r="Q40" i="4" s="1"/>
  <c r="I40" i="11"/>
  <c r="J40" i="11" s="1"/>
  <c r="H39" i="4"/>
  <c r="Q39" i="4" s="1"/>
  <c r="I39" i="11"/>
  <c r="J39" i="11" s="1"/>
  <c r="H38" i="4"/>
  <c r="Q38" i="4" s="1"/>
  <c r="I38" i="11"/>
  <c r="J38" i="11" s="1"/>
  <c r="H37" i="4"/>
  <c r="Q37" i="4" s="1"/>
  <c r="D18" i="9" s="1"/>
  <c r="I37" i="11"/>
  <c r="J37" i="11" s="1"/>
  <c r="E26" i="10" s="1"/>
  <c r="H36" i="4"/>
  <c r="Q36" i="4" s="1"/>
  <c r="I36" i="11"/>
  <c r="J36" i="11" s="1"/>
  <c r="H35" i="4"/>
  <c r="Q35" i="4" s="1"/>
  <c r="I35" i="11"/>
  <c r="J35" i="11" s="1"/>
  <c r="E25" i="10" s="1"/>
  <c r="H13" i="4"/>
  <c r="Q13" i="4" s="1"/>
  <c r="I13" i="11"/>
  <c r="J13" i="11" s="1"/>
  <c r="D30" i="10"/>
  <c r="D31" i="10"/>
  <c r="D21" i="10"/>
  <c r="D27" i="10"/>
  <c r="D28" i="10"/>
  <c r="D29" i="10"/>
  <c r="H77" i="11"/>
  <c r="D22" i="10"/>
  <c r="D25" i="10"/>
  <c r="D24" i="10"/>
  <c r="D26" i="10"/>
  <c r="D23" i="10"/>
  <c r="D32" i="10"/>
  <c r="I20" i="8"/>
  <c r="K20" i="8"/>
  <c r="J20" i="8"/>
  <c r="E64" i="10" s="1"/>
  <c r="I19" i="8"/>
  <c r="K19" i="8"/>
  <c r="J19" i="8"/>
  <c r="E63" i="10" s="1"/>
  <c r="K18" i="8"/>
  <c r="J18" i="8"/>
  <c r="E62" i="10" s="1"/>
  <c r="I18" i="8"/>
  <c r="J17" i="8"/>
  <c r="E61" i="10" s="1"/>
  <c r="K17" i="8"/>
  <c r="I17" i="8"/>
  <c r="J15" i="8"/>
  <c r="E59" i="10" s="1"/>
  <c r="I15" i="8"/>
  <c r="K15" i="8"/>
  <c r="I14" i="8"/>
  <c r="J14" i="8"/>
  <c r="E58" i="10" s="1"/>
  <c r="K14" i="8"/>
  <c r="K13" i="8"/>
  <c r="J13" i="8"/>
  <c r="E57" i="10" s="1"/>
  <c r="I13" i="8"/>
  <c r="K12" i="8"/>
  <c r="J12" i="8"/>
  <c r="I12" i="8"/>
  <c r="K11" i="8"/>
  <c r="J11" i="8"/>
  <c r="E55" i="10" s="1"/>
  <c r="I11" i="8"/>
  <c r="I10" i="8"/>
  <c r="K10" i="8"/>
  <c r="J10" i="8"/>
  <c r="E54" i="10" s="1"/>
  <c r="I9" i="8"/>
  <c r="J9" i="8"/>
  <c r="E53" i="10" s="1"/>
  <c r="K9" i="8"/>
  <c r="I8" i="8"/>
  <c r="J8" i="8"/>
  <c r="E52" i="10" s="1"/>
  <c r="K8" i="8"/>
  <c r="J7" i="8"/>
  <c r="E51" i="10" s="1"/>
  <c r="I7" i="8"/>
  <c r="K7" i="8"/>
  <c r="I6" i="8"/>
  <c r="J6" i="8"/>
  <c r="K6" i="8"/>
  <c r="H32" i="5"/>
  <c r="H33" i="5" s="1"/>
  <c r="G32" i="5"/>
  <c r="G33" i="5"/>
  <c r="F32" i="5"/>
  <c r="F33" i="5" s="1"/>
  <c r="E32" i="5"/>
  <c r="E33" i="5" s="1"/>
  <c r="I76" i="11"/>
  <c r="J76" i="11" s="1"/>
  <c r="H76" i="4"/>
  <c r="Q76" i="4" s="1"/>
  <c r="I75" i="11"/>
  <c r="J75" i="11" s="1"/>
  <c r="H75" i="4"/>
  <c r="Q75" i="4" s="1"/>
  <c r="C24" i="9"/>
  <c r="C25" i="9" s="1"/>
  <c r="P77" i="4"/>
  <c r="I74" i="11"/>
  <c r="J74" i="11" s="1"/>
  <c r="H74" i="4"/>
  <c r="Q74" i="4" s="1"/>
  <c r="D24" i="9" s="1"/>
  <c r="I62" i="11"/>
  <c r="J62" i="11" s="1"/>
  <c r="H62" i="4"/>
  <c r="Q62" i="4" s="1"/>
  <c r="H61" i="4"/>
  <c r="Q61" i="4" s="1"/>
  <c r="I61" i="11"/>
  <c r="J61" i="11" s="1"/>
  <c r="H60" i="4"/>
  <c r="Q60" i="4" s="1"/>
  <c r="I60" i="11"/>
  <c r="J60" i="11" s="1"/>
  <c r="H59" i="4"/>
  <c r="Q59" i="4" s="1"/>
  <c r="D21" i="9" s="1"/>
  <c r="I59" i="11"/>
  <c r="J59" i="11" s="1"/>
  <c r="E29" i="10" s="1"/>
  <c r="I48" i="11"/>
  <c r="J48" i="11" s="1"/>
  <c r="H48" i="4"/>
  <c r="Q48" i="4" s="1"/>
  <c r="I47" i="11"/>
  <c r="J47" i="11" s="1"/>
  <c r="H47" i="4"/>
  <c r="Q47" i="4" s="1"/>
  <c r="I46" i="11"/>
  <c r="J46" i="11" s="1"/>
  <c r="H46" i="4"/>
  <c r="Q46" i="4" s="1"/>
  <c r="I45" i="11"/>
  <c r="J45" i="11" s="1"/>
  <c r="H45" i="4"/>
  <c r="Q45" i="4" s="1"/>
  <c r="I44" i="11"/>
  <c r="J44" i="11" s="1"/>
  <c r="H44" i="4"/>
  <c r="Q44" i="4" s="1"/>
  <c r="I43" i="11"/>
  <c r="J43" i="11" s="1"/>
  <c r="E27" i="10" s="1"/>
  <c r="H43" i="4"/>
  <c r="Q43" i="4" s="1"/>
  <c r="D19" i="9" s="1"/>
  <c r="I32" i="11"/>
  <c r="J32" i="11" s="1"/>
  <c r="H32" i="4"/>
  <c r="Q32" i="4" s="1"/>
  <c r="I31" i="11"/>
  <c r="J31" i="11" s="1"/>
  <c r="H31" i="4"/>
  <c r="Q31" i="4" s="1"/>
  <c r="I30" i="11"/>
  <c r="J30" i="11" s="1"/>
  <c r="H30" i="4"/>
  <c r="Q30" i="4" s="1"/>
  <c r="I29" i="11"/>
  <c r="J29" i="11" s="1"/>
  <c r="H29" i="4"/>
  <c r="Q29" i="4" s="1"/>
  <c r="I28" i="11"/>
  <c r="J28" i="11" s="1"/>
  <c r="H28" i="4"/>
  <c r="Q28" i="4" s="1"/>
  <c r="I27" i="11"/>
  <c r="J27" i="11" s="1"/>
  <c r="H27" i="4"/>
  <c r="Q27" i="4" s="1"/>
  <c r="I26" i="11"/>
  <c r="J26" i="11" s="1"/>
  <c r="H26" i="4"/>
  <c r="Q26" i="4" s="1"/>
  <c r="I25" i="11"/>
  <c r="J25" i="11" s="1"/>
  <c r="H25" i="4"/>
  <c r="Q25" i="4" s="1"/>
  <c r="I24" i="11"/>
  <c r="J24" i="11" s="1"/>
  <c r="H24" i="4"/>
  <c r="Q24" i="4" s="1"/>
  <c r="H23" i="4"/>
  <c r="Q23" i="4" s="1"/>
  <c r="I23" i="11"/>
  <c r="J23" i="11" s="1"/>
  <c r="H22" i="4"/>
  <c r="Q22" i="4" s="1"/>
  <c r="I22" i="11"/>
  <c r="J22" i="11" s="1"/>
  <c r="H21" i="4"/>
  <c r="Q21" i="4" s="1"/>
  <c r="I21" i="11"/>
  <c r="J21" i="11" s="1"/>
  <c r="I20" i="11"/>
  <c r="J20" i="11" s="1"/>
  <c r="H20" i="4"/>
  <c r="Q20" i="4" s="1"/>
  <c r="H19" i="4"/>
  <c r="Q19" i="4" s="1"/>
  <c r="I19" i="11"/>
  <c r="J19" i="11" s="1"/>
  <c r="H18" i="4"/>
  <c r="Q18" i="4" s="1"/>
  <c r="D15" i="9" s="1"/>
  <c r="I18" i="11"/>
  <c r="J18" i="11" s="1"/>
  <c r="E23" i="10" s="1"/>
  <c r="H17" i="4"/>
  <c r="Q17" i="4" s="1"/>
  <c r="I17" i="11"/>
  <c r="J17" i="11" s="1"/>
  <c r="H16" i="4"/>
  <c r="Q16" i="4" s="1"/>
  <c r="I16" i="11"/>
  <c r="J16" i="11" s="1"/>
  <c r="H15" i="4"/>
  <c r="Q15" i="4" s="1"/>
  <c r="I15" i="11"/>
  <c r="J15" i="11" s="1"/>
  <c r="H14" i="4"/>
  <c r="Q14" i="4" s="1"/>
  <c r="I14" i="11"/>
  <c r="J14" i="11" s="1"/>
  <c r="H12" i="4"/>
  <c r="Q12" i="4" s="1"/>
  <c r="I12" i="11"/>
  <c r="J12" i="11" s="1"/>
  <c r="I11" i="11"/>
  <c r="J11" i="11" s="1"/>
  <c r="H11" i="4"/>
  <c r="Q11" i="4" s="1"/>
  <c r="H10" i="4"/>
  <c r="Q10" i="4" s="1"/>
  <c r="I10" i="11"/>
  <c r="J10" i="11" s="1"/>
  <c r="H9" i="4"/>
  <c r="Q9" i="4" s="1"/>
  <c r="I9" i="11"/>
  <c r="J9" i="11" s="1"/>
  <c r="I8" i="11"/>
  <c r="J8" i="11" s="1"/>
  <c r="H8" i="4"/>
  <c r="Q8" i="4" s="1"/>
  <c r="I7" i="11"/>
  <c r="J7" i="11" s="1"/>
  <c r="H7" i="4"/>
  <c r="Q7" i="4" s="1"/>
  <c r="I6" i="11"/>
  <c r="J6" i="11" s="1"/>
  <c r="H6" i="4"/>
  <c r="D20" i="9"/>
  <c r="E31" i="10" l="1"/>
  <c r="E24" i="10"/>
  <c r="D16" i="9"/>
  <c r="J77" i="11"/>
  <c r="E21" i="10"/>
  <c r="E33" i="10" s="1"/>
  <c r="E56" i="10"/>
  <c r="J23" i="8"/>
  <c r="E50" i="10"/>
  <c r="J22" i="8"/>
  <c r="Q6" i="4"/>
  <c r="B6" i="7"/>
  <c r="G7" i="7"/>
  <c r="E9" i="7"/>
  <c r="F11" i="7"/>
  <c r="C7" i="7"/>
  <c r="B9" i="7"/>
  <c r="B11" i="7"/>
  <c r="G6" i="7"/>
  <c r="E8" i="7"/>
  <c r="D10" i="7"/>
  <c r="E12" i="7"/>
  <c r="K77" i="4"/>
  <c r="I77" i="4"/>
  <c r="E7" i="7"/>
  <c r="D9" i="7"/>
  <c r="G10" i="7"/>
  <c r="F12" i="7"/>
  <c r="B13" i="7"/>
  <c r="D13" i="7"/>
  <c r="F13" i="7"/>
  <c r="B14" i="7"/>
  <c r="D14" i="7"/>
  <c r="F14" i="7"/>
  <c r="B15" i="7"/>
  <c r="E15" i="7"/>
  <c r="G15" i="7"/>
  <c r="C16" i="7"/>
  <c r="E16" i="7"/>
  <c r="G16" i="7"/>
  <c r="D17" i="7"/>
  <c r="F17" i="7"/>
  <c r="E6" i="7"/>
  <c r="D8" i="7"/>
  <c r="C10" i="7"/>
  <c r="D11" i="7"/>
  <c r="G12" i="7"/>
  <c r="C13" i="7"/>
  <c r="E13" i="7"/>
  <c r="G13" i="7"/>
  <c r="C14" i="7"/>
  <c r="E14" i="7"/>
  <c r="G14" i="7"/>
  <c r="C15" i="7"/>
  <c r="D15" i="7"/>
  <c r="F15" i="7"/>
  <c r="B16" i="7"/>
  <c r="D16" i="7"/>
  <c r="F16" i="7"/>
  <c r="B17" i="7"/>
  <c r="C17" i="7"/>
  <c r="E17" i="7"/>
  <c r="G17" i="7"/>
  <c r="D7" i="7"/>
  <c r="C9" i="7"/>
  <c r="C11" i="7"/>
  <c r="J77" i="4"/>
  <c r="N77" i="4"/>
  <c r="U77" i="4"/>
  <c r="F7" i="7"/>
  <c r="F9" i="7"/>
  <c r="B12" i="7"/>
  <c r="D6" i="7"/>
  <c r="B8" i="7"/>
  <c r="G9" i="7"/>
  <c r="E11" i="7"/>
  <c r="C6" i="7"/>
  <c r="C8" i="7"/>
  <c r="B10" i="7"/>
  <c r="G11" i="7"/>
  <c r="L77" i="4"/>
  <c r="S77" i="4"/>
  <c r="V77" i="4"/>
  <c r="F6" i="7"/>
  <c r="F8" i="7"/>
  <c r="E10" i="7"/>
  <c r="D12" i="7"/>
  <c r="M77" i="4"/>
  <c r="T77" i="4"/>
  <c r="B7" i="7"/>
  <c r="G8" i="7"/>
  <c r="F10" i="7"/>
  <c r="C12" i="7"/>
  <c r="K23" i="8"/>
  <c r="I23" i="8"/>
  <c r="I22" i="8"/>
  <c r="K22" i="8"/>
  <c r="D33" i="10"/>
  <c r="E32" i="10"/>
  <c r="E22" i="10"/>
  <c r="D14" i="9"/>
  <c r="C18" i="7" l="1"/>
  <c r="E34" i="10"/>
  <c r="D30" i="7"/>
  <c r="E30" i="7"/>
  <c r="F30" i="7"/>
  <c r="E66" i="10"/>
  <c r="D43" i="9"/>
  <c r="J24" i="8"/>
  <c r="D42" i="9"/>
  <c r="D44" i="9" s="1"/>
  <c r="D29" i="7"/>
  <c r="E29" i="7"/>
  <c r="F29" i="7"/>
  <c r="E65" i="10"/>
  <c r="Q77" i="4"/>
  <c r="D13" i="9"/>
  <c r="D25" i="9" s="1"/>
  <c r="C19" i="7"/>
  <c r="G30" i="7"/>
  <c r="C30" i="7"/>
  <c r="B30" i="7"/>
  <c r="F38" i="2"/>
  <c r="G38" i="2" s="1"/>
  <c r="I24" i="8"/>
  <c r="G29" i="7"/>
  <c r="C29" i="7"/>
  <c r="B29" i="7"/>
  <c r="B18" i="7"/>
  <c r="D18" i="7"/>
  <c r="F18" i="7"/>
  <c r="E18" i="7"/>
  <c r="K24" i="8"/>
  <c r="K25" i="8" s="1"/>
  <c r="G18" i="7"/>
  <c r="E35" i="10" l="1"/>
  <c r="E37" i="10" s="1"/>
  <c r="E36" i="10"/>
  <c r="G37" i="5"/>
  <c r="H37" i="5"/>
  <c r="D31" i="7"/>
  <c r="G6" i="6" s="1"/>
  <c r="E31" i="7"/>
  <c r="H6" i="6" s="1"/>
  <c r="F31" i="7"/>
  <c r="I6" i="6" s="1"/>
  <c r="E67" i="10"/>
  <c r="J25" i="8"/>
  <c r="D26" i="9"/>
  <c r="F37" i="5"/>
  <c r="I25" i="8"/>
  <c r="E37" i="5"/>
  <c r="B31" i="7"/>
  <c r="C31" i="7"/>
  <c r="F6" i="6" s="1"/>
  <c r="G31" i="7"/>
  <c r="J6" i="6" s="1"/>
  <c r="B20" i="7"/>
  <c r="B21" i="7" s="1"/>
  <c r="B19" i="7"/>
  <c r="D19" i="7"/>
  <c r="D20" i="7"/>
  <c r="D21" i="7" s="1"/>
  <c r="F19" i="7"/>
  <c r="F20" i="7"/>
  <c r="F21" i="7" s="1"/>
  <c r="E19" i="7"/>
  <c r="E20" i="7" s="1"/>
  <c r="E21" i="7" s="1"/>
  <c r="G19" i="7"/>
  <c r="C20" i="7"/>
  <c r="C21" i="7"/>
  <c r="E38" i="10" l="1"/>
  <c r="E39" i="10" s="1"/>
  <c r="B22" i="7"/>
  <c r="B23" i="7" s="1"/>
  <c r="D22" i="7"/>
  <c r="D23" i="7" s="1"/>
  <c r="F22" i="7"/>
  <c r="F23" i="7" s="1"/>
  <c r="E22" i="7"/>
  <c r="E23" i="7" s="1"/>
  <c r="C22" i="7"/>
  <c r="C23" i="7" s="1"/>
  <c r="D27" i="9"/>
  <c r="G20" i="7"/>
  <c r="G21" i="7" s="1"/>
  <c r="E45" i="10" l="1"/>
  <c r="E44" i="10"/>
  <c r="E43" i="10"/>
  <c r="G22" i="7"/>
  <c r="G23" i="7" s="1"/>
  <c r="E46" i="10"/>
  <c r="D28" i="9"/>
  <c r="D29" i="9"/>
  <c r="D30" i="9" l="1"/>
  <c r="D31" i="9" s="1"/>
  <c r="D36" i="9" l="1"/>
  <c r="D37" i="9"/>
  <c r="D35" i="9"/>
  <c r="D38" i="9"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Báo giá</author>
  </authors>
  <commentList>
    <comment ref="B6" authorId="0" shapeId="0" xr:uid="{00000000-0006-0000-0200-000001000000}">
      <text>
        <r>
          <rPr>
            <sz val="11"/>
            <color theme="1"/>
            <rFont val="Calibri"/>
            <family val="2"/>
            <scheme val="minor"/>
          </rPr>
          <t>Giả định mẫu. Hãy thay bằng đơn giá thực tế của bạn.</t>
        </r>
      </text>
    </comment>
  </commentList>
</comments>
</file>

<file path=xl/sharedStrings.xml><?xml version="1.0" encoding="utf-8"?>
<sst xmlns="http://schemas.openxmlformats.org/spreadsheetml/2006/main" count="1163" uniqueCount="608">
  <si>
    <t>Bảng báo giá chi tiết: từ ý tưởng đến vận hành</t>
  </si>
  <si>
    <t>Landing page, website, CMS, CRM, hệ thống quản lý và Zalo Mini App.</t>
  </si>
  <si>
    <t>Cách dùng</t>
  </si>
  <si>
    <t>1</t>
  </si>
  <si>
    <t>Mở sheet Thông số, nhập đơn giá ngày công theo vai trò và các hệ số (quản lý dự án, dự phòng, VAT, tỷ lệ thanh toán).</t>
  </si>
  <si>
    <t>2</t>
  </si>
  <si>
    <t>Sheet Hạng mục liệt kê mọi công việc. Sửa ngày công (chữ xanh) nếu ước tính của bạn khác. Cột gói cho biết hạng mục nào nằm trong gói nào.</t>
  </si>
  <si>
    <t>3</t>
  </si>
  <si>
    <t>Sheet Gói cấp độ là bảng 4 cấp Rẻ, Cơ bản, Nâng cao, Cao cấp theo kiểu bảng chức năng website (Có/Không, giá ở đầu cột). Sheet So sánh gói và Tổng hợp gói là 6 gói theo loại sản phẩm. Sheet So sánh gói là bảng Có/Không cho khách xem nhanh từng gói gồm gì. Sheet Tổng hợp gói cho giá chi tiết theo giai đoạn của 6 gói. Cả hai tính tự động.</t>
  </si>
  <si>
    <t>4</t>
  </si>
  <si>
    <t>Muốn báo giá riêng: ở sheet Hạng mục đặt 1 vào cột Chọn cho khách (nền vàng) cho các hạng mục khách cần, 0 cho phần còn lại.</t>
  </si>
  <si>
    <t>5</t>
  </si>
  <si>
    <t>Sheet Báo giá khách tự tổng hợp theo giai đoạn, thêm quản lý dự án, dự phòng, chiết khấu, VAT và lịch thanh toán. Nhập tên khách, dự án, ngày ở các ô vàng rồi gửi cho khách.</t>
  </si>
  <si>
    <t>6</t>
  </si>
  <si>
    <t>Sheet Vận hành tách riêng từng khoản phí hằng tháng: VPS, hosting, tên miền, SSL, monitoring, alert, sao lưu, bảo trì. Có 3 gói Cơ bản, Tiêu chuẩn, Nâng cao. Chọn gói ở ô Gói vận hành hàng tháng trong Báo giá khách.</t>
  </si>
  <si>
    <t>Giá thị trường</t>
  </si>
  <si>
    <t>B</t>
  </si>
  <si>
    <t>Sheet Bảng giá đề xuất là giá chào đã đối chiếu thị trường Việt Nam: 4 cấp độ website, giải pháp Mini App, CRM, hệ thống quản lý, module lẻ và phí hạ tầng, kèm nguồn tham khảo. Giá đề xuất ở các sheet So sánh gói, Gói cấp độ, Tổng hợp gói đều lấy từ sheet này.</t>
  </si>
  <si>
    <t>Báo giá riêng cho khách</t>
  </si>
  <si>
    <t>A</t>
  </si>
  <si>
    <t>Mỗi khách có 2 sheet: Báo giá (bản gửi khách) và Chi tiết (chọn hạng mục, chỉnh ngày công riêng). Sheet mẫu là TT Anh ngữ ABC. Để làm khách mới: bấm chuột phải vào tên sheet, chọn Move or Copy, tick Create a copy. Chọn cả hai sheet cùng lúc (giữ Ctrl) để bản sao vẫn nối đúng với nhau, rồi đổi tên.</t>
  </si>
  <si>
    <t>Quy ước màu</t>
  </si>
  <si>
    <t>Chữ xanh</t>
  </si>
  <si>
    <t>Dữ liệu nhập vào, có thể sửa.</t>
  </si>
  <si>
    <t>Nền vàng</t>
  </si>
  <si>
    <t>Ô cần điền hoặc giả định quan trọng.</t>
  </si>
  <si>
    <t>Chữ đen</t>
  </si>
  <si>
    <t>Công thức, không sửa.</t>
  </si>
  <si>
    <t>Lưu ý</t>
  </si>
  <si>
    <t>!</t>
  </si>
  <si>
    <t>Toàn bộ đơn giá, ngày công và hệ số trong file là giả định mẫu do Claude đề xuất để bạn chỉnh. Chưa phải bảng giá chính thức của bạn.</t>
  </si>
  <si>
    <t>Dòng dữ liệu mẫu: Báo giá khách đang điền sẵn ví dụ Công ty ABC với lựa chọn Website + CMS. Thay bằng thông tin khách thật.</t>
  </si>
  <si>
    <t>Bảng giá đề xuất, đối chiếu thị trường Việt Nam</t>
  </si>
  <si>
    <t>Giá chào (cột chữ xanh nền vàng) đặt theo mặt bằng giá thị trường đã khảo sát, chưa gồm VAT. Chi phí nội bộ tính từ ước tính công x đơn giá Senior Dev trong Thông số.</t>
  </si>
  <si>
    <t>A. Website theo cấp độ (rẻ, cơ bản, nâng cao, cao cấp)</t>
  </si>
  <si>
    <t>Gói / Module</t>
  </si>
  <si>
    <t>Hình thức thực hiện</t>
  </si>
  <si>
    <t>Nội dung chính</t>
  </si>
  <si>
    <t>Thị trường thấp (VND)</t>
  </si>
  <si>
    <t>Thị trường cao (VND)</t>
  </si>
  <si>
    <t>Giá đề xuất (VND, chưa VAT)</t>
  </si>
  <si>
    <t>So với thị trường</t>
  </si>
  <si>
    <t>Ước tính công (ngày)</t>
  </si>
  <si>
    <t>Chi phí nội bộ (VND)</t>
  </si>
  <si>
    <t>Biên lợi nhuận</t>
  </si>
  <si>
    <t>Nguồn tham khảo</t>
  </si>
  <si>
    <t>Gói Rẻ</t>
  </si>
  <si>
    <t>Giao diện mẫu tùy chỉnh theo thương hiệu</t>
  </si>
  <si>
    <t>Landing page 1 trang, responsive, form liên hệ gửi email, SEO cơ bản, tên miền + SSL</t>
  </si>
  <si>
    <t>Bizfly: landing 3 đến 10 triệu. Giao diện mẫu 2 đến 3 triệu.</t>
  </si>
  <si>
    <t>Gói Cơ bản</t>
  </si>
  <si>
    <t>Giao diện mẫu nâng cấp</t>
  </si>
  <si>
    <t>Website giới thiệu 5 trang, responsive, form email, tối ưu tốc độ, Google Analytics</t>
  </si>
  <si>
    <t>Bizfly: website giới thiệu 7 đến 25 triệu. Expro 7,9 triệu, Tomaz 8,5 triệu.</t>
  </si>
  <si>
    <t>Gói Nâng cao</t>
  </si>
  <si>
    <t>Thiết kế riêng + CMS</t>
  </si>
  <si>
    <t>Website thiết kế riêng, tự cập nhật bài viết và trang (CMS), SEO, đa ngôn ngữ nhẹ, thư viện ảnh</t>
  </si>
  <si>
    <t>Bizfly: website doanh nghiệp 15 đến 40 triệu. MONA: lập trình riêng 12 đến 35 triệu.</t>
  </si>
  <si>
    <t>Gói Cao cấp</t>
  </si>
  <si>
    <t>Lập trình riêng (custom)</t>
  </si>
  <si>
    <t>UI/UX riêng, tốc độ cao, tích hợp thanh toán, CRM, Zalo OA, chức năng theo yêu cầu</t>
  </si>
  <si>
    <t>Bizfly: lập trình riêng từ 40 triệu. Bảng tham khảo bạn cung cấp: 39 đến 60 triệu trở lên.</t>
  </si>
  <si>
    <t>B. Giải pháp tùy chỉnh theo loại sản phẩm</t>
  </si>
  <si>
    <t>Zalo Mini App cơ bản</t>
  </si>
  <si>
    <t>Lập trình riêng (React + ZaUI)</t>
  </si>
  <si>
    <t>Giới thiệu, đặt lịch hoặc điểm danh, lưu dữ liệu, đồng bộ Excel/OneDrive, gửi duyệt Zalo</t>
  </si>
  <si>
    <t>Thiết kế riêng Mini App giới thiệu + đặt lịch: 25 đến 45 triệu (tổng hợp từ bảng giá các đơn vị). Thuê nền tảng SaaS 10,8 triệu/năm.</t>
  </si>
  <si>
    <t>Zalo Mini App nâng cao</t>
  </si>
  <si>
    <t>Lập trình riêng + backend</t>
  </si>
  <si>
    <t>Bán hàng, giỏ hàng, tích điểm, thẻ thành viên, thanh toán, ZNS, quản trị web</t>
  </si>
  <si>
    <t>Mini App bán hàng 45 đến 90 triệu, tích điểm 60 đến 110 triệu.</t>
  </si>
  <si>
    <t>CRM tùy chỉnh gọn</t>
  </si>
  <si>
    <t>Lập trình riêng</t>
  </si>
  <si>
    <t>Khách hàng, pipeline kanban, nhắc việc, báo giá PDF, báo cáo doanh số, phân quyền</t>
  </si>
  <si>
    <t>Phần mềm theo yêu cầu 60 đến 400 triệu (CIT). CRM sẵn có MISA AMIS từ 55.000/người/tháng.</t>
  </si>
  <si>
    <t>Hệ thống quản lý vận hành</t>
  </si>
  <si>
    <t>Ví dụ trung tâm giáo dục: học viên, nhân sự, lịch, điểm danh, học phí, lương, báo cáo, dashboard</t>
  </si>
  <si>
    <t>Phần mềm theo yêu cầu 60 đến 400 triệu, bảo trì khoảng 10 đến 20%/năm (CIT).</t>
  </si>
  <si>
    <t>C. Module và chức năng lẻ (cộng thêm vào gói)</t>
  </si>
  <si>
    <t>Chức năng</t>
  </si>
  <si>
    <t>Hình thức</t>
  </si>
  <si>
    <t>Mô tả</t>
  </si>
  <si>
    <t>Popup thông báo</t>
  </si>
  <si>
    <t>Chức năng thêm</t>
  </si>
  <si>
    <t>Hiển thị ảnh hoặc thông báo khi khách vào web</t>
  </si>
  <si>
    <t>Bảng tham khảo bạn cung cấp: 500.000.</t>
  </si>
  <si>
    <t>Google Dịch (đa ngôn ngữ nhanh)</t>
  </si>
  <si>
    <t>Tích hợp công cụ dịch trực tiếp trên trang</t>
  </si>
  <si>
    <t>Đa ngôn ngữ Việt/Anh đầy đủ</t>
  </si>
  <si>
    <t>Nội dung hai ngôn ngữ, chuyển đổi, SEO từng ngôn ngữ</t>
  </si>
  <si>
    <t>Giá đề xuất của Claude, chưa có số thị trường.</t>
  </si>
  <si>
    <t>Đẩy tin tức mới</t>
  </si>
  <si>
    <t>Hiển thị tin tức, thông báo động cho khách truy cập</t>
  </si>
  <si>
    <t>Bảng tham khảo bạn cung cấp: 1.500.000.</t>
  </si>
  <si>
    <t>Popup form thu thông tin (lead form)</t>
  </si>
  <si>
    <t>Thu thập thông tin khách hàng, gửi về email hoặc Google Sheet</t>
  </si>
  <si>
    <t>Thị trường: theo yêu cầu. Giá đề xuất của Claude.</t>
  </si>
  <si>
    <t>Chat Zalo OA / Live chat</t>
  </si>
  <si>
    <t>Tích hợp</t>
  </si>
  <si>
    <t>Kết nối Zalo OA hoặc live chat vào website</t>
  </si>
  <si>
    <t>Thị trường: theo thỏa thuận. Giá đề xuất của Claude.</t>
  </si>
  <si>
    <t>Tích hợp CRM</t>
  </si>
  <si>
    <t>Đẩy lead từ website vào phần mềm CRM</t>
  </si>
  <si>
    <t>Cổng thanh toán (VNPay, MoMo, QR)</t>
  </si>
  <si>
    <t>Thanh toán trực tuyến, đối soát đơn</t>
  </si>
  <si>
    <t>Giỏ hàng và bán hàng cơ bản</t>
  </si>
  <si>
    <t>Module</t>
  </si>
  <si>
    <t>Quản lý sản phẩm, giỏ hàng, đặt hàng trực tuyến, email đơn hàng</t>
  </si>
  <si>
    <t>Bảng tham khảo bạn cung cấp: website bán hàng 6 đến 20 triệu.</t>
  </si>
  <si>
    <t>Nhập, xuất Excel</t>
  </si>
  <si>
    <t>Nhập danh sách từ Excel, xuất báo cáo</t>
  </si>
  <si>
    <t>Giá đề xuất của Claude.</t>
  </si>
  <si>
    <t>D. Phí hạ tầng và duy trì (nhà cung cấp tính, chuyển tiếp theo hóa đơn)</t>
  </si>
  <si>
    <t>Khoản phí</t>
  </si>
  <si>
    <t>Chu kỳ</t>
  </si>
  <si>
    <t>Ghi chú</t>
  </si>
  <si>
    <t>Dùng trong báo giá (VND)</t>
  </si>
  <si>
    <t>Tên miền quốc tế (.com, .net)</t>
  </si>
  <si>
    <t>năm</t>
  </si>
  <si>
    <t>Gia hạn hằng năm</t>
  </si>
  <si>
    <t>MONA: 200.000 đến 500.000/năm.</t>
  </si>
  <si>
    <t>Tên miền Việt Nam (.vn, .com.vn)</t>
  </si>
  <si>
    <t>MONA: 600.000 đến 1.200.000/năm.</t>
  </si>
  <si>
    <t>Hosting website tĩnh / CDN</t>
  </si>
  <si>
    <t>Cho landing page và website giới thiệu</t>
  </si>
  <si>
    <t>MONA: 500.000 đến 2.000.000/năm. Bảng của bạn: 1 đến 5 triệu.</t>
  </si>
  <si>
    <t>VPS cho ứng dụng, CMS, CRM</t>
  </si>
  <si>
    <t>2 vCPU / 4 GB RAM</t>
  </si>
  <si>
    <t>Bảng tham khảo bạn cung cấp: 1 đến 5 triệu/năm.</t>
  </si>
  <si>
    <t>Chứng chỉ SSL</t>
  </si>
  <si>
    <t>Let's Encrypt miễn phí, trả phí nếu khách yêu cầu</t>
  </si>
  <si>
    <t>Bảng bạn cung cấp: miễn phí hoặc 500.000 đến 2.000.000/năm.</t>
  </si>
  <si>
    <t>Bảo trì website cơ bản: giám sát, cảnh báo, sao lưu, 1 giờ hỗ trợ/tháng</t>
  </si>
  <si>
    <t>Giám sát, cảnh báo, sao lưu, hỗ trợ</t>
  </si>
  <si>
    <t>MONA: bảo trì 2 đến 5 triệu/năm. Bizfly: 1 đến 5 triệu/tháng cho gói đầy đủ.</t>
  </si>
  <si>
    <t>Nguồn khảo sát (truy cập 05/10/2026, mang tính tham khảo, không phải cam kết giá)</t>
  </si>
  <si>
    <t>Bizfly, chi phí thiết kế website: https://bizfly.vn/techblog/chi-phi-thiet-ke-website.html</t>
  </si>
  <si>
    <t>MONA Media, bảng giá thiết kế website: https://mona.media/bang-gia-thiet-ke-website/</t>
  </si>
  <si>
    <t>MONA Media, chi phí duy trì website: https://mona.media/chi-phi-duy-tri-website/</t>
  </si>
  <si>
    <t>MONA Media, web theo yêu cầu (12 đến 35 triệu): https://mona.media/thiet-ke-va-lap-trinh-web-theo-yeu-cau/</t>
  </si>
  <si>
    <t>Gói theo cấp độ: Expro (4,7 / 7,9 / 11,9 / 15,9 triệu), Tomaz (6,9 / 8,5 / 15,9 triệu), Bictweb (1,5 đến 15 triệu): expro.vn, tomaz.vn, bictweb.vn</t>
  </si>
  <si>
    <t>Zalo Mini App: V9 Tech, CNV, LPTech, ByteSoft, CIT Group (kết quả tổng hợp từ tìm kiếm, chưa kiểm từng trang)</t>
  </si>
  <si>
    <t>Phần mềm theo yêu cầu 60 đến 400 triệu, bảo trì 10 đến 20%/năm: CIT Group, citgroup.vn/software</t>
  </si>
  <si>
    <t>CRM có sẵn: MISA AMIS CRM từ 55.000 đồng/người/tháng: amis.misa.vn</t>
  </si>
  <si>
    <t>Bảng chức năng và giá module do người dùng cung cấp trong phiên làm việc (popup, Google Dịch, tin tức, website cao cấp 39 đến 60 triệu).</t>
  </si>
  <si>
    <t>Giá thị trường rất phân tán: giao diện mẫu WordPress rẻ hơn nhiều so với lập trình riêng. Giá đề xuất đặt ở mức trung bình đến trên trung bình của khoảng thị trường vì dùng thành phần tự phát triển, bàn giao tài liệu và có kinh nghiệm vận hành thật. Mọi giá đều chỉnh được ở ô nền vàng.</t>
  </si>
  <si>
    <t>Thông số báo giá</t>
  </si>
  <si>
    <t>Chỉ sửa các ô chữ xanh nền vàng. Mọi sheet khác tự tính lại theo các thông số này.</t>
  </si>
  <si>
    <t>Đơn giá ngày công theo vai trò</t>
  </si>
  <si>
    <t>Vai trò</t>
  </si>
  <si>
    <t>Đơn giá (VND/ngày)</t>
  </si>
  <si>
    <t>PM/BA</t>
  </si>
  <si>
    <t>Quản lý dự án, phân tích nghiệp vụ, tài liệu, đào tạo.</t>
  </si>
  <si>
    <t>UI/UX</t>
  </si>
  <si>
    <t>Thiết kế giao diện, prototype.</t>
  </si>
  <si>
    <t>Senior Dev</t>
  </si>
  <si>
    <t>Lập trình frontend/backend, kiến trúc, tích hợp.</t>
  </si>
  <si>
    <t>DevOps</t>
  </si>
  <si>
    <t>Hạ tầng, triển khai, CI/CD, giám sát.</t>
  </si>
  <si>
    <t>QA</t>
  </si>
  <si>
    <t>Kiểm thử chức năng, hồi quy, hiệu năng.</t>
  </si>
  <si>
    <t>Hệ số và điều kiện thương mại</t>
  </si>
  <si>
    <t>Thông số</t>
  </si>
  <si>
    <t>Giá trị</t>
  </si>
  <si>
    <t>Quản lý dự án (% trên tạm tính)</t>
  </si>
  <si>
    <t>Họp tiến độ hàng tuần, báo cáo, điều phối. Giả định mẫu.</t>
  </si>
  <si>
    <t>Dự phòng rủi ro (% trên phần đã gồm quản lý)</t>
  </si>
  <si>
    <t>Dành cho thay đổi nhỏ trong phạm vi. Giả định mẫu.</t>
  </si>
  <si>
    <t>Thuế VAT</t>
  </si>
  <si>
    <t>Xác nhận mức VAT đang áp dụng với kế toán trước khi gửi khách.</t>
  </si>
  <si>
    <t>Số ngày công thực tế/tuần/người</t>
  </si>
  <si>
    <t>Dùng để ước tính thời gian triển khai.</t>
  </si>
  <si>
    <t>Hiệu suất làm việc</t>
  </si>
  <si>
    <t>Trừ họp, chờ phản hồi của khách. Giả định mẫu.</t>
  </si>
  <si>
    <t>Thanh toán đợt 1: ký hợp đồng</t>
  </si>
  <si>
    <t>Tổng 3 đợt phải bằng 100%.</t>
  </si>
  <si>
    <t>Thanh toán đợt 2: nghiệm thu thiết kế / bản demo</t>
  </si>
  <si>
    <t>Thanh toán đợt 3: nghiệm thu và bàn giao</t>
  </si>
  <si>
    <t>Hiệu lực báo giá (ngày)</t>
  </si>
  <si>
    <t>Số vòng chỉnh sửa mỗi giai đoạn thiết kế</t>
  </si>
  <si>
    <t>Vòng thêm tính theo đơn giá ngày công.</t>
  </si>
  <si>
    <t>Thời gian bảo hành lỗi (ngày)</t>
  </si>
  <si>
    <t>Tính từ ngày nghiệm thu.</t>
  </si>
  <si>
    <t>Kiểm tra tổng 3 đợt thanh toán</t>
  </si>
  <si>
    <t>Hệ số điều chỉnh đơn giá (tái sử dụng thành phần có sẵn, mặt bằng giá thị trường)</t>
  </si>
  <si>
    <t>Nhân với mọi đơn giá ngày công. 70% nghĩa là mức thực tế bằng 70% đơn giá nhập ở trên, do tái sử dụng thành phần đã làm sẵn (đăng nhập, bảng dữ liệu, điểm danh, đồng bộ Excel) và để sát giá thị trường Việt Nam. Nhập 100% để tính đủ.</t>
  </si>
  <si>
    <t>Bảng hạng mục chi tiết</t>
  </si>
  <si>
    <t>Số 1 trong cột gói nghĩa là hạng mục đã gồm trong gói. Cột Chọn cho khách dùng để lập báo giá riêng ở sheet Báo giá khách.</t>
  </si>
  <si>
    <t>Mã</t>
  </si>
  <si>
    <t>Giai đoạn</t>
  </si>
  <si>
    <t>Hạng mục</t>
  </si>
  <si>
    <t>Đầu ra bàn giao</t>
  </si>
  <si>
    <t>Ngày công</t>
  </si>
  <si>
    <t>Đơn giá/ngày (VND)</t>
  </si>
  <si>
    <t>Thành tiền (VND)</t>
  </si>
  <si>
    <t>Landing page</t>
  </si>
  <si>
    <t>Website giới thiệu</t>
  </si>
  <si>
    <t>Website + CMS</t>
  </si>
  <si>
    <t>CRM</t>
  </si>
  <si>
    <t>Hệ thống quản lý</t>
  </si>
  <si>
    <t>Zalo Mini App</t>
  </si>
  <si>
    <t>Chọn cho khách (1/0)</t>
  </si>
  <si>
    <t>Ngày công đã chọn</t>
  </si>
  <si>
    <t>Thành tiền đã chọn (VND)</t>
  </si>
  <si>
    <t>Loại</t>
  </si>
  <si>
    <t>1.1</t>
  </si>
  <si>
    <t>1. Khởi động &amp; phân tích</t>
  </si>
  <si>
    <t>Họp khởi động, chốt mục tiêu và phạm vi</t>
  </si>
  <si>
    <t>Biên bản phạm vi, danh sách chức năng theo mức ưu tiên</t>
  </si>
  <si>
    <t>1.2</t>
  </si>
  <si>
    <t>Phân tích nghiệp vụ và đặc tả chức năng</t>
  </si>
  <si>
    <t>Tài liệu đặc tả: user story, luồng nghiệp vụ</t>
  </si>
  <si>
    <t>1.3</t>
  </si>
  <si>
    <t>Sitemap và cấu trúc nội dung</t>
  </si>
  <si>
    <t>Sơ đồ trang, danh sách nội dung khách cần chuẩn bị</t>
  </si>
  <si>
    <t>1.4</t>
  </si>
  <si>
    <t>Thiết kế kiến trúc và cơ sở dữ liệu</t>
  </si>
  <si>
    <t>Sơ đồ kiến trúc, ERD, lựa chọn công nghệ</t>
  </si>
  <si>
    <t>1.5</t>
  </si>
  <si>
    <t>Kế hoạch dự án và lộ trình bàn giao</t>
  </si>
  <si>
    <t>Mốc thời gian, tiêu chí nghiệm thu</t>
  </si>
  <si>
    <t>2.1</t>
  </si>
  <si>
    <t>2. Thiết kế UI/UX</t>
  </si>
  <si>
    <t>Moodboard và bộ nhận diện giao diện</t>
  </si>
  <si>
    <t>Style guide: màu, font, component, design tokens</t>
  </si>
  <si>
    <t>2.2</t>
  </si>
  <si>
    <t>Thiết kế landing page (desktop và mobile)</t>
  </si>
  <si>
    <t>File thiết kế landing page</t>
  </si>
  <si>
    <t>2.3</t>
  </si>
  <si>
    <t>Thiết kế website nhiều trang (5 đến 8 trang mẫu)</t>
  </si>
  <si>
    <t>File thiết kế các trang chính</t>
  </si>
  <si>
    <t>2.4</t>
  </si>
  <si>
    <t>Thiết kế giao diện quản trị</t>
  </si>
  <si>
    <t>Dashboard, danh sách, biểu mẫu, trạng thái rỗng</t>
  </si>
  <si>
    <t>2.5</t>
  </si>
  <si>
    <t>Thiết kế giao diện mobile cho hệ thống</t>
  </si>
  <si>
    <t>Bản mobile của danh sách, biểu mẫu, điều hướng</t>
  </si>
  <si>
    <t>2.6</t>
  </si>
  <si>
    <t>Thiết kế Zalo Mini App (ZaUI)</t>
  </si>
  <si>
    <t>Màn hình Mini App theo chuẩn thiết kế của Zalo</t>
  </si>
  <si>
    <t>2.7</t>
  </si>
  <si>
    <t>Prototype và duyệt thiết kế</t>
  </si>
  <si>
    <t>Prototype bấm được, tối đa số vòng chỉnh sửa trong Thông số</t>
  </si>
  <si>
    <t>3.1</t>
  </si>
  <si>
    <t>3. Lập trình giao diện</t>
  </si>
  <si>
    <t>Dựng landing page responsive</t>
  </si>
  <si>
    <t>Landing page hoàn chỉnh trên mọi cỡ màn hình</t>
  </si>
  <si>
    <t>3.2</t>
  </si>
  <si>
    <t>Dựng website nhiều trang responsive</t>
  </si>
  <si>
    <t>Website nhiều trang hoàn chỉnh</t>
  </si>
  <si>
    <t>3.3</t>
  </si>
  <si>
    <t>Tối ưu tốc độ và SEO kỹ thuật</t>
  </si>
  <si>
    <t>Meta, sitemap, dữ liệu có cấu trúc, Core Web Vitals</t>
  </si>
  <si>
    <t>3.4</t>
  </si>
  <si>
    <t>Form liên hệ, chống spam, email thông báo</t>
  </si>
  <si>
    <t>Form gửi về email của doanh nghiệp</t>
  </si>
  <si>
    <t>3.5</t>
  </si>
  <si>
    <t>Khung ứng dụng quản trị</t>
  </si>
  <si>
    <t>Layout, điều hướng, ẩn hiện chức năng theo quyền</t>
  </si>
  <si>
    <t>3.6</t>
  </si>
  <si>
    <t>Bảng dữ liệu, lọc, tìm kiếm, phân trang, biểu mẫu</t>
  </si>
  <si>
    <t>Bộ component dùng chung cho mọi màn hình danh sách</t>
  </si>
  <si>
    <t>3.7</t>
  </si>
  <si>
    <t>Giao diện Zalo Mini App (React + ZaUI)</t>
  </si>
  <si>
    <t>Các màn hình Mini App chạy trong Zalo</t>
  </si>
  <si>
    <t>3.8</t>
  </si>
  <si>
    <t>Đa ngôn ngữ (Việt/Anh)</t>
  </si>
  <si>
    <t>Chuyển đổi ngôn ngữ toàn site</t>
  </si>
  <si>
    <t>4.1</t>
  </si>
  <si>
    <t>4. Backend &amp; cơ sở dữ liệu</t>
  </si>
  <si>
    <t>Khởi tạo backend, môi trường dev và staging</t>
  </si>
  <si>
    <t>Mã nguồn khởi tạo, môi trường thử nghiệm</t>
  </si>
  <si>
    <t>4.2</t>
  </si>
  <si>
    <t>Xác thực và phân quyền (JWT, RBAC)</t>
  </si>
  <si>
    <t>Đăng nhập, phân quyền theo vai trò</t>
  </si>
  <si>
    <t>4.3</t>
  </si>
  <si>
    <t>Quản lý người dùng và vai trò</t>
  </si>
  <si>
    <t>Thêm, sửa, khóa tài khoản, gán vai trò</t>
  </si>
  <si>
    <t>4.4</t>
  </si>
  <si>
    <t>API REST và tài liệu OpenAPI</t>
  </si>
  <si>
    <t>API đầy đủ cho các module và tài liệu</t>
  </si>
  <si>
    <t>4.5</t>
  </si>
  <si>
    <t>Nhật ký thao tác (audit log)</t>
  </si>
  <si>
    <t>Ghi lại ai làm gì, lúc nào</t>
  </si>
  <si>
    <t>4.6</t>
  </si>
  <si>
    <t>Nhập và xuất Excel</t>
  </si>
  <si>
    <t>4.7</t>
  </si>
  <si>
    <t>Lưu cục bộ và đồng bộ Excel/OneDrive cho Mini App</t>
  </si>
  <si>
    <t>Dữ liệu dùng được khi mạng yếu, đồng bộ sau</t>
  </si>
  <si>
    <t>5.1</t>
  </si>
  <si>
    <t>5. Module CMS</t>
  </si>
  <si>
    <t>Quản lý trang và bài viết</t>
  </si>
  <si>
    <t>Trình soạn thảo, danh mục, thẻ</t>
  </si>
  <si>
    <t>5.2</t>
  </si>
  <si>
    <t>Thư viện media</t>
  </si>
  <si>
    <t>Tải lên, tối ưu ảnh, quản lý tệp</t>
  </si>
  <si>
    <t>5.3</t>
  </si>
  <si>
    <t>Quản lý menu, banner, SEO từng trang</t>
  </si>
  <si>
    <t>Khách tự chỉnh menu, banner, tiêu đề, mô tả</t>
  </si>
  <si>
    <t>5.4</t>
  </si>
  <si>
    <t>Bản nháp, lịch đăng và lịch sử phiên bản</t>
  </si>
  <si>
    <t>Đăng theo lịch, khôi phục phiên bản cũ</t>
  </si>
  <si>
    <t>6.1</t>
  </si>
  <si>
    <t>6. Module CRM</t>
  </si>
  <si>
    <t>Quản lý khách hàng và liên hệ</t>
  </si>
  <si>
    <t>Hồ sơ, thẻ, ghi chú, lịch sử tương tác</t>
  </si>
  <si>
    <t>6.2</t>
  </si>
  <si>
    <t>Pipeline cơ hội dạng kanban</t>
  </si>
  <si>
    <t>Kéo thả cơ hội qua các giai đoạn bán hàng</t>
  </si>
  <si>
    <t>6.3</t>
  </si>
  <si>
    <t>Hoạt động và nhắc việc</t>
  </si>
  <si>
    <t>Cuộc gọi, cuộc họp, công việc, nhắc hạn</t>
  </si>
  <si>
    <t>6.4</t>
  </si>
  <si>
    <t>Báo giá và hợp đồng mẫu xuất PDF</t>
  </si>
  <si>
    <t>Mẫu báo giá, hợp đồng theo thương hiệu</t>
  </si>
  <si>
    <t>6.5</t>
  </si>
  <si>
    <t>Báo cáo và dashboard doanh số</t>
  </si>
  <si>
    <t>Doanh số, tỷ lệ chốt, theo nhân viên</t>
  </si>
  <si>
    <t>6.6</t>
  </si>
  <si>
    <t>Tự động gửi email/Zalo ZNS theo kịch bản</t>
  </si>
  <si>
    <t>Gửi tự động khi có sự kiện</t>
  </si>
  <si>
    <t>7.1</t>
  </si>
  <si>
    <t>7. Hệ thống quản lý vận hành</t>
  </si>
  <si>
    <t>Quản lý đối tượng chính và hồ sơ</t>
  </si>
  <si>
    <t>Ví dụ học viên hoặc khách hàng: hồ sơ, trạng thái, liên hệ</t>
  </si>
  <si>
    <t>7.2</t>
  </si>
  <si>
    <t>Quản lý nhân sự</t>
  </si>
  <si>
    <t>Ví dụ giáo viên hoặc nhân viên</t>
  </si>
  <si>
    <t>7.3</t>
  </si>
  <si>
    <t>Lịch lớp, ca làm việc và xếp lịch</t>
  </si>
  <si>
    <t>Xếp lịch, ngày lễ, phòng</t>
  </si>
  <si>
    <t>7.4</t>
  </si>
  <si>
    <t>Điểm danh và đơn xin nghỉ</t>
  </si>
  <si>
    <t>Điểm danh theo ca, trạng thái có mặt/trễ/vắng</t>
  </si>
  <si>
    <t>7.5</t>
  </si>
  <si>
    <t>Học phí, thu chi và phiếu thu</t>
  </si>
  <si>
    <t>Dự kiến, đã thu, công nợ</t>
  </si>
  <si>
    <t>7.6</t>
  </si>
  <si>
    <t>Tính lương và đánh giá hiệu quả</t>
  </si>
  <si>
    <t>Bảng lương theo quy tắc, đánh giá nhân sự</t>
  </si>
  <si>
    <t>7.7</t>
  </si>
  <si>
    <t>Báo cáo tự động gửi phụ huynh/khách</t>
  </si>
  <si>
    <t>Báo cáo định kỳ qua email hoặc Zalo</t>
  </si>
  <si>
    <t>7.8</t>
  </si>
  <si>
    <t>Dashboard tổng quan</t>
  </si>
  <si>
    <t>Số liệu chính, biểu đồ, cảnh báo</t>
  </si>
  <si>
    <t>8.1</t>
  </si>
  <si>
    <t>8. Zalo Mini App</t>
  </si>
  <si>
    <t>Tích hợp Zalo SDK</t>
  </si>
  <si>
    <t>Đăng nhập, lấy thông tin người dùng</t>
  </si>
  <si>
    <t>8.2</t>
  </si>
  <si>
    <t>Nghiệp vụ chính của Mini App</t>
  </si>
  <si>
    <t>Ví dụ điểm danh, danh sách, ghi chú</t>
  </si>
  <si>
    <t>8.3</t>
  </si>
  <si>
    <t>Gửi thông báo ZNS</t>
  </si>
  <si>
    <t>Tin nhắn thông báo qua Zalo</t>
  </si>
  <si>
    <t>8.4</t>
  </si>
  <si>
    <t>Thanh toán trong Mini App (Checkout SDK)</t>
  </si>
  <si>
    <t>Thanh toán ngay trong Zalo</t>
  </si>
  <si>
    <t>8.5</t>
  </si>
  <si>
    <t>Gửi hồ sơ duyệt Mini App và chỉnh theo phản hồi</t>
  </si>
  <si>
    <t>Mini App được Zalo duyệt phát hành</t>
  </si>
  <si>
    <t>9.1</t>
  </si>
  <si>
    <t>9. Tích hợp bên ngoài</t>
  </si>
  <si>
    <t>Gửi email giao dịch (SMTP/API)</t>
  </si>
  <si>
    <t>Email xác nhận, thông báo</t>
  </si>
  <si>
    <t>9.2</t>
  </si>
  <si>
    <t>Google Analytics, Tag Manager, Meta Pixel</t>
  </si>
  <si>
    <t>Theo dõi lượt truy cập, chuyển đổi</t>
  </si>
  <si>
    <t>9.3</t>
  </si>
  <si>
    <t>Đăng nhập Microsoft/Google (OAuth, Azure AD)</t>
  </si>
  <si>
    <t>Đăng nhập bằng tài khoản có sẵn</t>
  </si>
  <si>
    <t>9.4</t>
  </si>
  <si>
    <t>Thanh toán trực tuyến</t>
  </si>
  <si>
    <t>9.5</t>
  </si>
  <si>
    <t>Tích hợp ERP, kế toán hoặc API bên thứ ba</t>
  </si>
  <si>
    <t>Đồng bộ dữ liệu hai chiều</t>
  </si>
  <si>
    <t>9.6</t>
  </si>
  <si>
    <t>Chuyển dữ liệu cũ sang hệ thống mới</t>
  </si>
  <si>
    <t>Làm sạch và nhập dữ liệu cũ</t>
  </si>
  <si>
    <t>9.7</t>
  </si>
  <si>
    <t>Chức năng theo yêu cầu riêng (khối lượng thỏa thuận)</t>
  </si>
  <si>
    <t>Chức năng ngoài danh sách, khối lượng chốt sau khi phân tích</t>
  </si>
  <si>
    <t>10.1</t>
  </si>
  <si>
    <t>10. Kiểm thử &amp; nghiệm thu</t>
  </si>
  <si>
    <t>Kiểm thử cơ bản (trình duyệt, thiết bị, liên kết)</t>
  </si>
  <si>
    <t>Báo cáo kiểm thử và danh sách lỗi đã sửa</t>
  </si>
  <si>
    <t>10.2</t>
  </si>
  <si>
    <t>Kiểm thử chức năng hệ thống (test case, hồi quy)</t>
  </si>
  <si>
    <t>Bộ test case và báo cáo</t>
  </si>
  <si>
    <t>10.3</t>
  </si>
  <si>
    <t>Kiểm tra bảo mật cơ bản (OWASP)</t>
  </si>
  <si>
    <t>Checklist bảo mật đã xử lý</t>
  </si>
  <si>
    <t>10.4</t>
  </si>
  <si>
    <t>Kiểm thử tải và hiệu năng</t>
  </si>
  <si>
    <t>Báo cáo hiệu năng dưới tải</t>
  </si>
  <si>
    <t>10.5</t>
  </si>
  <si>
    <t>UAT cùng khách hàng và sửa lỗi</t>
  </si>
  <si>
    <t>Khách dùng thử, lỗi được sửa trước nghiệm thu</t>
  </si>
  <si>
    <t>11.1</t>
  </si>
  <si>
    <t>11. Hạ tầng &amp; triển khai</t>
  </si>
  <si>
    <t>Tên miền, DNS, chứng chỉ SSL</t>
  </si>
  <si>
    <t>Website chạy trên tên miền riêng có HTTPS</t>
  </si>
  <si>
    <t>11.2</t>
  </si>
  <si>
    <t>Triển khai website tĩnh (hosting/CDN)</t>
  </si>
  <si>
    <t>Website chạy trên hosting nhanh, chi phí thấp</t>
  </si>
  <si>
    <t>11.3</t>
  </si>
  <si>
    <t>VPS, Docker Compose, Nginx, TLS</t>
  </si>
  <si>
    <t>Máy chủ ứng dụng cấu hình sẵn</t>
  </si>
  <si>
    <t>11.4</t>
  </si>
  <si>
    <t>CI/CD tự động triển khai</t>
  </si>
  <si>
    <t>Đẩy mã lên là tự kiểm tra và triển khai</t>
  </si>
  <si>
    <t>11.5</t>
  </si>
  <si>
    <t>Giám sát, cảnh báo và sao lưu tự động</t>
  </si>
  <si>
    <t>Cảnh báo khi lỗi, sao lưu hằng ngày</t>
  </si>
  <si>
    <t>12.1</t>
  </si>
  <si>
    <t>12. Đào tạo &amp; bàn giao</t>
  </si>
  <si>
    <t>Hướng dẫn cập nhật nội dung</t>
  </si>
  <si>
    <t>Tài liệu hoặc video ngắn</t>
  </si>
  <si>
    <t>12.2</t>
  </si>
  <si>
    <t>Tài liệu kiến trúc và vận hành</t>
  </si>
  <si>
    <t>Kiến trúc, cách chạy, xử lý sự cố</t>
  </si>
  <si>
    <t>12.3</t>
  </si>
  <si>
    <t>Đào tạo người dùng (1 đến 2 buổi)</t>
  </si>
  <si>
    <t>Buổi đào tạo trực tiếp hoặc trực tuyến</t>
  </si>
  <si>
    <t>12.4</t>
  </si>
  <si>
    <t>Bàn giao mã nguồn và tài khoản</t>
  </si>
  <si>
    <t>Mã nguồn, tài khoản quản trị, tài khoản hạ tầng</t>
  </si>
  <si>
    <t>Tổng theo từng gói / tổng đã chọn</t>
  </si>
  <si>
    <t>Thành tiền trước quản lý dự án, dự phòng, VAT</t>
  </si>
  <si>
    <t>BẢNG BÁO GIÁ CHỨC NĂNG WEBSITE THEO CẤP ĐỘ</t>
  </si>
  <si>
    <t>Nguyễn Phan Minh Phú · Senior Software Engineer · npmphu97@gmail.com · 0379 774 886</t>
  </si>
  <si>
    <t>STT</t>
  </si>
  <si>
    <t>Tên chức năng</t>
  </si>
  <si>
    <t>Mã hạng mục 1</t>
  </si>
  <si>
    <t>Mã hạng mục 2</t>
  </si>
  <si>
    <t>Giá gói (chưa VAT)</t>
  </si>
  <si>
    <t>Phù hợp với</t>
  </si>
  <si>
    <t>Giới thiệu nhanh, chạy quảng cáo, thu thông tin khách</t>
  </si>
  <si>
    <t>Doanh nghiệp cần hiện diện chuyên nghiệp, ít đổi nội dung</t>
  </si>
  <si>
    <t>Doanh nghiệp tự cập nhật nội dung, làm SEO lâu dài</t>
  </si>
  <si>
    <t>Cần đa ngôn ngữ, thanh toán, tích hợp và chức năng riêng</t>
  </si>
  <si>
    <t>Landing page một trang</t>
  </si>
  <si>
    <t>Website nhiều trang: giới thiệu, sản phẩm/dịch vụ, tin tức</t>
  </si>
  <si>
    <t>Thiết kế theo bộ nhận diện thương hiệu</t>
  </si>
  <si>
    <t>Hỗ trợ giao diện di động, phù hợp mọi thiết bị</t>
  </si>
  <si>
    <t>Giới thiệu sản phẩm/dịch vụ theo từng chuyên mục</t>
  </si>
  <si>
    <t>Form liên hệ, thư liên hệ gửi về email</t>
  </si>
  <si>
    <t>Theo dõi truy cập (Google Analytics, Pixel)</t>
  </si>
  <si>
    <t>Tên miền riêng và chứng chỉ SSL (HTTPS)</t>
  </si>
  <si>
    <t>Tự cập nhật bài viết và trang (CMS)</t>
  </si>
  <si>
    <t>Thư viện ảnh, video, hoạt động của công ty</t>
  </si>
  <si>
    <t>Đăng bài theo lịch, khôi phục phiên bản cũ</t>
  </si>
  <si>
    <t>Trang quản trị, đăng nhập, phân quyền</t>
  </si>
  <si>
    <t>Email thông báo tự động (đơn hàng, liên hệ)</t>
  </si>
  <si>
    <t>Hỗ trợ đa ngôn ngữ (Việt/Anh)</t>
  </si>
  <si>
    <t>Đăng nhập bằng tài khoản Microsoft/Google</t>
  </si>
  <si>
    <t>Thanh toán trực tuyến (VNPay, MoMo, QR)</t>
  </si>
  <si>
    <t>Tài liệu hướng dẫn và đào tạo sử dụng</t>
  </si>
  <si>
    <t>Giá và thời gian</t>
  </si>
  <si>
    <t>Giá đề xuất (chưa VAT)</t>
  </si>
  <si>
    <t>VAT</t>
  </si>
  <si>
    <t>TỔNG CỘNG (đã gồm VAT)</t>
  </si>
  <si>
    <t>Số người tham gia</t>
  </si>
  <si>
    <t>Thời gian dự kiến (tuần)</t>
  </si>
  <si>
    <t>Gói vận hành hàng tháng</t>
  </si>
  <si>
    <t>Cơ bản</t>
  </si>
  <si>
    <t>Tiêu chuẩn</t>
  </si>
  <si>
    <t>Phí hàng tháng sau go-live (VND)</t>
  </si>
  <si>
    <t>✔ Có: đã gồm trong gói. ✘ Không: không gồm. ＋ Tùy chọn: không gồm trong cấp độ nào, báo giá thêm. Gói Cao cấp gồm khối lượng dành cho chức năng theo yêu cầu (mã 9.7), nếu vượt thì tính thêm theo đơn giá ngày công. Nâng cấp lên gói cao hơn chỉ trả phần chênh lệch.</t>
  </si>
  <si>
    <t>BẢNG SO SÁNH CHỨC NĂNG THEO GÓI</t>
  </si>
  <si>
    <t>Phí hàng tháng sau go-live (gói đề xuất)</t>
  </si>
  <si>
    <t>Landing page một trang, hiển thị tốt trên điện thoại</t>
  </si>
  <si>
    <t>Form liên hệ, thư gửi về email</t>
  </si>
  <si>
    <t>Theo dõi truy cập (Analytics, Pixel)</t>
  </si>
  <si>
    <t>Thư viện ảnh, video</t>
  </si>
  <si>
    <t>Trang quản trị, đăng nhập, phân quyền theo vai trò</t>
  </si>
  <si>
    <t>Báo giá, hợp đồng mẫu xuất PDF</t>
  </si>
  <si>
    <t>Dashboard và báo cáo tổng quan</t>
  </si>
  <si>
    <t>Email thông báo tự động</t>
  </si>
  <si>
    <t>Ứng dụng chạy trong Zalo (Mini App)</t>
  </si>
  <si>
    <t>Lưu cục bộ, đồng bộ Excel/OneDrive</t>
  </si>
  <si>
    <t>Thanh toán trong Mini App hoặc cổng thanh toán</t>
  </si>
  <si>
    <t>Tích hợp ERP, kế toán hoặc hệ thống có sẵn</t>
  </si>
  <si>
    <t>✔ Có: đã gồm trong gói. ✘ Không: không gồm. ＋ Tùy chọn: không gồm trong gói nào, báo giá thêm theo nhu cầu (chọn ở cột Chọn cho khách trong sheet Hạng mục). Cột Mã hạng mục dùng để đối chiếu với sheet Hạng mục.</t>
  </si>
  <si>
    <t>Tổng hợp giá theo gói</t>
  </si>
  <si>
    <t>Giá tham khảo để khách chọn nhanh. Muốn chỉnh theo nhu cầu riêng, dùng cột Chọn cho khách ở sheet Hạng mục.</t>
  </si>
  <si>
    <t>Doanh nghiệp cần hiện diện chuyên nghiệp, ít thay đổi nội dung</t>
  </si>
  <si>
    <t>Doanh nghiệp tự cập nhật nội dung, tin tức, SEO lâu dài</t>
  </si>
  <si>
    <t>Quản lý khách hàng, cơ hội và doanh số</t>
  </si>
  <si>
    <t>Vận hành cả trung tâm hoặc cửa hàng: lịch, điểm danh, thu chi, lương</t>
  </si>
  <si>
    <t>Dùng ngay trong Zalo cho nhân viên hoặc khách hàng</t>
  </si>
  <si>
    <t>Tạm tính (cộng 12 giai đoạn)</t>
  </si>
  <si>
    <t>Quản lý dự án</t>
  </si>
  <si>
    <t>Dự phòng rủi ro</t>
  </si>
  <si>
    <t>Tổng trước VAT</t>
  </si>
  <si>
    <t>Tổng ngày công</t>
  </si>
  <si>
    <t>Gói vận hành hàng tháng đề xuất</t>
  </si>
  <si>
    <t>Phí hạ tầng/tháng: VPS, hosting, tên miền (VND)</t>
  </si>
  <si>
    <t>Phí dịch vụ/tháng: monitoring, alert, bảo trì (VND)</t>
  </si>
  <si>
    <t>TỔNG PHÍ HÀNG THÁNG (VND)</t>
  </si>
  <si>
    <t>Giá đề xuất theo thị trường (chưa VAT)</t>
  </si>
  <si>
    <t>Thời gian dự kiến = tổng ngày công cộng phần quản lý dự án, chia cho (số người x ngày/tuần x hiệu suất). Đây là ước tính, chưa gồm thời gian chờ phản hồi của khách.</t>
  </si>
  <si>
    <t>Số người tham gia và gói vận hành là giả định mẫu, sửa ở ô chữ xanh nền vàng.</t>
  </si>
  <si>
    <t>Chi phí tên miền, hosting/VPS, ZNS, cổng thanh toán và phần mềm bản quyền của bên thứ ba do khách chi trả riêng, tính ở sheet Vận hành.</t>
  </si>
  <si>
    <t>Phí hàng tháng sau go-live: tách riêng từng khoản</t>
  </si>
  <si>
    <t>Nhóm A là chi phí hạ tầng chuyển tiếp theo hóa đơn nhà cung cấp. Nhóm B là phí dịch vụ vận hành của bạn. Số lượng theo từng gói ở các cột chữ xanh.</t>
  </si>
  <si>
    <t>Nhóm</t>
  </si>
  <si>
    <t>Đơn giá (VND/chu kỳ)</t>
  </si>
  <si>
    <t>Quy ra tháng (VND)</t>
  </si>
  <si>
    <t>SL Cơ bản</t>
  </si>
  <si>
    <t>SL Tiêu chuẩn</t>
  </si>
  <si>
    <t>SL Nâng cao</t>
  </si>
  <si>
    <t>Nâng cao</t>
  </si>
  <si>
    <t>A. Hạ tầng (chuyển tiếp theo hóa đơn)</t>
  </si>
  <si>
    <t>VPS (máy chủ ảo cho ứng dụng, CMS, CRM)</t>
  </si>
  <si>
    <t>tháng</t>
  </si>
  <si>
    <t>2 vCPU / 4 GB RAM. Giá nhà cung cấp, chuyển tiếp theo hóa đơn.</t>
  </si>
  <si>
    <t>Cho landing page và website giới thiệu không cần máy chủ riêng.</t>
  </si>
  <si>
    <t>Tên miền (.com / .vn)</t>
  </si>
  <si>
    <t>Gia hạn hằng năm. Thị trường tham khảo: 200.000 đến 1.000.000/năm tùy đuôi tên miền.</t>
  </si>
  <si>
    <t>Let's Encrypt miễn phí. Chứng chỉ trả phí thị trường: 500.000 đến 2.000.000/năm.</t>
  </si>
  <si>
    <t>Lưu trữ bản sao lưu (storage ngoài máy chủ)</t>
  </si>
  <si>
    <t>Bản sao lưu lưu ở nơi khác với VPS.</t>
  </si>
  <si>
    <t>Email theo tên miền (mỗi hộp thư)</t>
  </si>
  <si>
    <t>Tùy chọn. Đặt 0 nếu khách không cần.</t>
  </si>
  <si>
    <t>B. Dịch vụ vận hành (phí dịch vụ)</t>
  </si>
  <si>
    <t>Monitoring: giám sát uptime</t>
  </si>
  <si>
    <t>Kiểm tra website còn chạy, đo thời gian phản hồi.</t>
  </si>
  <si>
    <t>Monitoring: hiệu năng và dashboard (CPU, RAM, ổ đĩa)</t>
  </si>
  <si>
    <t>Prometheus/Grafana, xem xu hướng tài nguyên.</t>
  </si>
  <si>
    <t>Alert: cảnh báo sự cố qua email, Zalo hoặc Telegram</t>
  </si>
  <si>
    <t>Báo ngay khi website hoặc dịch vụ ngừng hoạt động.</t>
  </si>
  <si>
    <t>Alert: trực sự cố ngoài giờ hành chính (on-call)</t>
  </si>
  <si>
    <t>Xử lý sự cố nghiêm trọng ngoài giờ.</t>
  </si>
  <si>
    <t>Sao lưu tự động hằng ngày và kiểm tra khôi phục</t>
  </si>
  <si>
    <t>Thử khôi phục định kỳ để chắc bản sao lưu dùng được.</t>
  </si>
  <si>
    <t>Bảo trì: cập nhật bản vá bảo mật và thư viện</t>
  </si>
  <si>
    <t>Cập nhật hệ điều hành, framework, thư viện.</t>
  </si>
  <si>
    <t>Bảo trì: giờ hỗ trợ và sửa lỗi</t>
  </si>
  <si>
    <t>giờ</t>
  </si>
  <si>
    <t>Đơn giá giờ = đơn giá Senior Dev chia 8. Giờ không dùng hết không cộng dồn.</t>
  </si>
  <si>
    <t>Bảo trì: giờ phát triển tính năng nhỏ</t>
  </si>
  <si>
    <t>Chỉnh sửa nhỏ ngoài phạm vi ban đầu.</t>
  </si>
  <si>
    <t>Báo cáo vận hành hàng tháng</t>
  </si>
  <si>
    <t>Uptime, sự cố, tài nguyên, việc đã làm.</t>
  </si>
  <si>
    <t>Cam kết thời gian phản hồi</t>
  </si>
  <si>
    <t>Trong 2 ngày làm việc</t>
  </si>
  <si>
    <t>Trong 1 ngày làm việc</t>
  </si>
  <si>
    <t>Trong 4 giờ làm việc</t>
  </si>
  <si>
    <t>Tổng chi phí hạ tầng (nhóm A)</t>
  </si>
  <si>
    <t>Tổng phí dịch vụ vận hành (nhóm B)</t>
  </si>
  <si>
    <t>Tổng mỗi năm (VND)</t>
  </si>
  <si>
    <t>Nhóm A là giá thực tế của nhà cung cấp (VPS, hosting, tên miền), báo cho khách theo hóa đơn và có thể do khách tự thanh toán trực tiếp. Giá trong bảng là giả định mẫu, cập nhật theo nhà cung cấp bạn dùng.</t>
  </si>
  <si>
    <t>BÁO GIÁ DỰ ÁN</t>
  </si>
  <si>
    <t>Nguyễn Phan Minh Phú · Senior Software Engineer · TP. Hồ Chí Minh</t>
  </si>
  <si>
    <t>Khách hàng</t>
  </si>
  <si>
    <t>Công ty TNHH Ví Dụ ABC</t>
  </si>
  <si>
    <t>Dự án</t>
  </si>
  <si>
    <t>Website giới thiệu và CMS</t>
  </si>
  <si>
    <t>Ngày báo giá</t>
  </si>
  <si>
    <t>Hiệu lực đến</t>
  </si>
  <si>
    <t>Người lập</t>
  </si>
  <si>
    <t>Nguyễn Phan Minh Phú</t>
  </si>
  <si>
    <t>Chiết khấu (%)</t>
  </si>
  <si>
    <t>Tạm tính</t>
  </si>
  <si>
    <t>Chiết khấu</t>
  </si>
  <si>
    <t>Lịch thanh toán</t>
  </si>
  <si>
    <t>Đợt</t>
  </si>
  <si>
    <t>Mốc</t>
  </si>
  <si>
    <t>Tỷ lệ</t>
  </si>
  <si>
    <t>Số tiền (VND)</t>
  </si>
  <si>
    <t>Ký hợp đồng</t>
  </si>
  <si>
    <t>Nghiệm thu thiết kế / bản demo</t>
  </si>
  <si>
    <t>Nghiệm thu và bàn giao</t>
  </si>
  <si>
    <t>Tổng</t>
  </si>
  <si>
    <t>Phí hàng tháng sau go-live (tách riêng từng khoản)</t>
  </si>
  <si>
    <t>Khoản</t>
  </si>
  <si>
    <t>VND/tháng</t>
  </si>
  <si>
    <t>Hạ tầng: VPS, hosting, tên miền, SSL, lưu trữ sao lưu</t>
  </si>
  <si>
    <t>Dịch vụ: monitoring, alert, sao lưu, bảo trì</t>
  </si>
  <si>
    <t>Điều khoản</t>
  </si>
  <si>
    <t>4. Chi phí tên miền, hosting, dịch vụ nhắn tin, cổng thanh toán và bản quyền bên thứ ba do khách hàng thanh toán riêng.</t>
  </si>
  <si>
    <t>5. Mã nguồn và tài khoản được bàn giao khi khách hàng thanh toán đủ.</t>
  </si>
  <si>
    <t>6. Chi tiết từng hạng mục và đầu ra bàn giao nằm ở sheet Hạng mục (lọc cột Chọn cho khách bằng 1).</t>
  </si>
  <si>
    <t>Trung tâm Anh ngữ Ví Dụ ABC</t>
  </si>
  <si>
    <t>Người liên hệ</t>
  </si>
  <si>
    <t>Chị Lan, quản lý trung tâm (số liệu ví dụ)</t>
  </si>
  <si>
    <t>Website giới thiệu có CMS và hệ thống quản lý học viên</t>
  </si>
  <si>
    <t>Yêu cầu chính của khách</t>
  </si>
  <si>
    <t>1. Website giới thiệu khóa học, tự đăng tin tức và lịch khai giảng.</t>
  </si>
  <si>
    <t>2. Quản lý học viên, lịch lớp, điểm danh và học phí trên cùng một hệ thống.</t>
  </si>
  <si>
    <t>3. Báo cáo tự động gửi phụ huynh qua email.</t>
  </si>
  <si>
    <t>4. Ví dụ mẫu: thay bằng yêu cầu thật của khách.</t>
  </si>
  <si>
    <t>1. Chi phí xây dựng một lần</t>
  </si>
  <si>
    <t>Số hạng mục</t>
  </si>
  <si>
    <t>TỔNG CHI PHÍ XÂY DỰNG (đã gồm VAT)</t>
  </si>
  <si>
    <t>Tổng hạ tầng (nhóm A, chuyển tiếp theo hóa đơn)</t>
  </si>
  <si>
    <t>TỔNG PHÍ HÀNG THÁNG</t>
  </si>
  <si>
    <t>4. Nhóm A (VPS, hosting, tên miền, SSL, lưu trữ sao lưu) là chi phí thực tế của nhà cung cấp, tính theo hóa đơn.</t>
  </si>
  <si>
    <t>6. Chi tiết từng hạng mục và đầu ra bàn giao nằm ở phụ lục (sheet Chi tiết, lọc cột Chọn bằng 1).</t>
  </si>
  <si>
    <t>Chi tiết hạng mục cho khách: Trung tâm Anh ngữ Ví Dụ ABC</t>
  </si>
  <si>
    <t>Đặt 1 vào cột Chọn cho hạng mục khách cần. Ô Điều chỉnh ngày công để trống thì dùng ngày công chuẩn, nhập số nếu khách này khác.</t>
  </si>
  <si>
    <t>Ngày công chuẩn</t>
  </si>
  <si>
    <t>Điều chỉnh ngày công</t>
  </si>
  <si>
    <t>Ngày công tính</t>
  </si>
  <si>
    <t>Chọn (1/0)</t>
  </si>
  <si>
    <t>Tổng đã chọn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</si>
</sst>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quot;-&quot;"/>
    <numFmt numFmtId="165" formatCode="0.0;\(0.0\);&quot;-&quot;"/>
    <numFmt numFmtId="166" formatCode="dd/mm/yyyy"/>
    <numFmt numFmtId="167" formatCode="0;\(0\);&quot;-&quot;"/>
  </numFmts>
  <fonts count="15" x14ac:knownFonts="1">
    <font>
      <sz val="11"/>
      <color theme="1"/>
      <name val="Calibri"/>
      <family val="2"/>
      <scheme val="minor"/>
    </font>
    <font>
      <b/>
      <sz val="16"/>
      <color rgb="FF0F172A"/>
      <name val="Arial"/>
    </font>
    <font>
      <i/>
      <sz val="10"/>
      <color rgb="FF475569"/>
      <name val="Arial"/>
    </font>
    <font>
      <b/>
      <sz val="11"/>
      <color rgb="FF000000"/>
      <name val="Arial"/>
    </font>
    <font>
      <b/>
      <sz val="10"/>
      <color rgb="FFFFFFFF"/>
      <name val="Arial"/>
    </font>
    <font>
      <b/>
      <sz val="10"/>
      <color rgb="FF000000"/>
      <name val="Arial"/>
    </font>
    <font>
      <sz val="10"/>
      <color rgb="FF0000FF"/>
      <name val="Arial"/>
    </font>
    <font>
      <sz val="10"/>
      <color rgb="FF000000"/>
      <name val="Arial"/>
    </font>
    <font>
      <sz val="9"/>
      <color rgb="FF000000"/>
      <name val="Arial"/>
    </font>
    <font>
      <sz val="9"/>
      <color rgb="FF475569"/>
      <name val="Arial"/>
    </font>
    <font>
      <sz val="10"/>
      <color rgb="FF475569"/>
      <name val="Arial"/>
    </font>
    <font>
      <sz val="9"/>
      <color rgb="FF0000FF"/>
      <name val="Arial"/>
    </font>
    <font>
      <b/>
      <sz val="18"/>
      <color rgb="FF0F172A"/>
      <name val="Arial"/>
    </font>
    <font>
      <sz val="9"/>
      <name val="Arial"/>
    </font>
    <font>
      <b/>
      <sz val="10"/>
      <color rgb="FF0000FF"/>
      <name val="Arial"/>
    </font>
  </fonts>
  <fills count="8">
    <fill>
      <patternFill patternType="none"/>
    </fill>
    <fill>
      <patternFill patternType="gray125"/>
    </fill>
    <fill>
      <patternFill patternType="solid">
        <fgColor rgb="FF0F172A"/>
      </patternFill>
    </fill>
    <fill>
      <patternFill patternType="solid">
        <fgColor rgb="FFFFF9C4"/>
      </patternFill>
    </fill>
    <fill>
      <patternFill patternType="solid">
        <fgColor rgb="FFFFFFFF"/>
      </patternFill>
    </fill>
    <fill>
      <patternFill patternType="solid">
        <fgColor rgb="FFF8FAFC"/>
      </patternFill>
    </fill>
    <fill>
      <patternFill patternType="solid">
        <fgColor rgb="FFF1F5F9"/>
      </patternFill>
    </fill>
    <fill>
      <patternFill patternType="solid">
        <fgColor rgb="FFECFDF5"/>
      </patternFill>
    </fill>
  </fills>
  <borders count="2">
    <border>
      <left/>
      <right/>
      <top/>
      <bottom/>
      <diagonal/>
    </border>
    <border>
      <left style="thin">
        <color rgb="FFCBD5E1"/>
      </left>
      <right style="thin">
        <color rgb="FFCBD5E1"/>
      </right>
      <top style="thin">
        <color rgb="FFCBD5E1"/>
      </top>
      <bottom style="thin">
        <color rgb="FFCBD5E1"/>
      </bottom>
      <diagonal/>
    </border>
  </borders>
  <cellStyleXfs count="1">
    <xf numFmtId="0" fontId="0" fillId="0" borderId="0"/>
  </cellStyleXfs>
  <cellXfs count="86">
    <xf numFmtId="0" fontId="0" fillId="0" borderId="0" xfId="0"/>
    <xf numFmtId="0" fontId="1" fillId="0" borderId="0" xfId="0" applyFont="1"/>
    <xf numFmtId="0" fontId="2" fillId="0" borderId="0" xfId="0" applyFont="1"/>
    <xf numFmtId="0" fontId="4" fillId="2" borderId="1" xfId="0" applyFont="1" applyFill="1" applyBorder="1" applyAlignment="1">
      <alignment vertical="center"/>
    </xf>
    <xf numFmtId="0" fontId="0" fillId="2" borderId="1" xfId="0" applyFill="1" applyBorder="1"/>
    <xf numFmtId="0" fontId="5" fillId="0" borderId="1" xfId="0" applyFont="1" applyBorder="1" applyAlignment="1">
      <alignment horizontal="center" vertical="center"/>
    </xf>
    <xf numFmtId="0" fontId="7" fillId="0" borderId="1" xfId="0" applyFont="1" applyBorder="1" applyAlignment="1">
      <alignment vertical="center" wrapText="1"/>
    </xf>
    <xf numFmtId="0" fontId="14" fillId="0" borderId="1" xfId="0" applyFont="1" applyBorder="1" applyAlignment="1">
      <alignment horizontal="center" vertical="center"/>
    </xf>
    <xf numFmtId="0" fontId="5" fillId="3" borderId="1" xfId="0" applyFont="1" applyFill="1" applyBorder="1" applyAlignment="1">
      <alignment horizontal="center" vertical="center"/>
    </xf>
    <xf numFmtId="0" fontId="3" fillId="0" borderId="0" xfId="0" applyFont="1" applyAlignment="1">
      <alignment vertical="center"/>
    </xf>
    <xf numFmtId="0" fontId="4" fillId="2" borderId="1" xfId="0" applyFont="1" applyFill="1" applyBorder="1" applyAlignment="1">
      <alignment horizontal="center" vertical="center" wrapText="1"/>
    </xf>
    <xf numFmtId="0" fontId="5" fillId="0" borderId="1" xfId="0" applyFont="1" applyBorder="1" applyAlignment="1">
      <alignment vertical="center" wrapText="1"/>
    </xf>
    <xf numFmtId="0" fontId="8" fillId="0" borderId="1" xfId="0" applyFont="1" applyBorder="1" applyAlignment="1">
      <alignment vertical="center" wrapText="1"/>
    </xf>
    <xf numFmtId="164" fontId="6" fillId="0" borderId="1" xfId="0" applyNumberFormat="1" applyFont="1" applyBorder="1" applyAlignment="1">
      <alignment vertical="center"/>
    </xf>
    <xf numFmtId="164" fontId="14" fillId="3" borderId="1" xfId="0" applyNumberFormat="1" applyFont="1" applyFill="1" applyBorder="1" applyAlignment="1">
      <alignment vertical="center"/>
    </xf>
    <xf numFmtId="165" fontId="6" fillId="3" borderId="1" xfId="0" applyNumberFormat="1" applyFont="1" applyFill="1" applyBorder="1" applyAlignment="1">
      <alignment vertical="center"/>
    </xf>
    <xf numFmtId="164" fontId="7" fillId="0" borderId="1" xfId="0" applyNumberFormat="1" applyFont="1" applyBorder="1" applyAlignment="1">
      <alignment vertical="center"/>
    </xf>
    <xf numFmtId="9" fontId="7" fillId="0" borderId="1" xfId="0" applyNumberFormat="1" applyFont="1" applyBorder="1" applyAlignment="1">
      <alignment vertical="center"/>
    </xf>
    <xf numFmtId="0" fontId="7" fillId="0" borderId="1" xfId="0" applyFont="1" applyBorder="1" applyAlignment="1">
      <alignment horizontal="center" vertical="center"/>
    </xf>
    <xf numFmtId="0" fontId="7" fillId="0" borderId="1" xfId="0" applyFont="1" applyBorder="1" applyAlignment="1">
      <alignment vertical="center"/>
    </xf>
    <xf numFmtId="164" fontId="5" fillId="0" borderId="1" xfId="0" applyNumberFormat="1" applyFont="1" applyBorder="1" applyAlignment="1">
      <alignment vertical="center"/>
    </xf>
    <xf numFmtId="0" fontId="5" fillId="0" borderId="1" xfId="0" applyFont="1" applyBorder="1" applyAlignment="1">
      <alignment vertical="center"/>
    </xf>
    <xf numFmtId="164" fontId="6" fillId="3" borderId="1" xfId="0" applyNumberFormat="1" applyFont="1" applyFill="1" applyBorder="1" applyAlignment="1">
      <alignment vertical="center"/>
    </xf>
    <xf numFmtId="9" fontId="6" fillId="3" borderId="1" xfId="0" applyNumberFormat="1" applyFont="1" applyFill="1" applyBorder="1" applyAlignment="1">
      <alignment vertical="center"/>
    </xf>
    <xf numFmtId="1" fontId="6" fillId="3" borderId="1" xfId="0" applyNumberFormat="1" applyFont="1" applyFill="1" applyBorder="1" applyAlignment="1">
      <alignment vertical="center"/>
    </xf>
    <xf numFmtId="0" fontId="7" fillId="4" borderId="1" xfId="0" applyFont="1" applyFill="1" applyBorder="1" applyAlignment="1">
      <alignment horizontal="center" vertical="center"/>
    </xf>
    <xf numFmtId="0" fontId="7" fillId="4" borderId="1" xfId="0" applyFont="1" applyFill="1" applyBorder="1" applyAlignment="1">
      <alignment vertical="center"/>
    </xf>
    <xf numFmtId="0" fontId="5" fillId="4" borderId="1" xfId="0" applyFont="1" applyFill="1" applyBorder="1" applyAlignment="1">
      <alignment vertical="center" wrapText="1"/>
    </xf>
    <xf numFmtId="0" fontId="7" fillId="4" borderId="1" xfId="0" applyFont="1" applyFill="1" applyBorder="1" applyAlignment="1">
      <alignment vertical="center" wrapText="1"/>
    </xf>
    <xf numFmtId="0" fontId="6" fillId="4" borderId="1" xfId="0" applyFont="1" applyFill="1" applyBorder="1" applyAlignment="1">
      <alignment horizontal="center" vertical="center"/>
    </xf>
    <xf numFmtId="165" fontId="6" fillId="4" borderId="1" xfId="0" applyNumberFormat="1" applyFont="1" applyFill="1" applyBorder="1" applyAlignment="1">
      <alignment horizontal="right" vertical="center"/>
    </xf>
    <xf numFmtId="164" fontId="7" fillId="4" borderId="1" xfId="0" applyNumberFormat="1" applyFont="1" applyFill="1" applyBorder="1" applyAlignment="1">
      <alignment vertical="center"/>
    </xf>
    <xf numFmtId="0" fontId="6" fillId="3" borderId="1" xfId="0" applyFont="1" applyFill="1" applyBorder="1" applyAlignment="1">
      <alignment horizontal="center" vertical="center"/>
    </xf>
    <xf numFmtId="165" fontId="7" fillId="4" borderId="1" xfId="0" applyNumberFormat="1" applyFont="1" applyFill="1" applyBorder="1" applyAlignment="1">
      <alignment horizontal="right" vertical="center"/>
    </xf>
    <xf numFmtId="0" fontId="7" fillId="5" borderId="1" xfId="0" applyFont="1" applyFill="1" applyBorder="1" applyAlignment="1">
      <alignment horizontal="center" vertical="center"/>
    </xf>
    <xf numFmtId="0" fontId="7" fillId="5" borderId="1" xfId="0" applyFont="1" applyFill="1" applyBorder="1" applyAlignment="1">
      <alignment vertical="center"/>
    </xf>
    <xf numFmtId="0" fontId="5" fillId="5" borderId="1" xfId="0" applyFont="1" applyFill="1" applyBorder="1" applyAlignment="1">
      <alignment vertical="center" wrapText="1"/>
    </xf>
    <xf numFmtId="0" fontId="7" fillId="5" borderId="1" xfId="0" applyFont="1" applyFill="1" applyBorder="1" applyAlignment="1">
      <alignment vertical="center" wrapText="1"/>
    </xf>
    <xf numFmtId="0" fontId="6" fillId="5" borderId="1" xfId="0" applyFont="1" applyFill="1" applyBorder="1" applyAlignment="1">
      <alignment horizontal="center" vertical="center"/>
    </xf>
    <xf numFmtId="165" fontId="6" fillId="5" borderId="1" xfId="0" applyNumberFormat="1" applyFont="1" applyFill="1" applyBorder="1" applyAlignment="1">
      <alignment horizontal="right" vertical="center"/>
    </xf>
    <xf numFmtId="164" fontId="7" fillId="5" borderId="1" xfId="0" applyNumberFormat="1" applyFont="1" applyFill="1" applyBorder="1" applyAlignment="1">
      <alignment vertical="center"/>
    </xf>
    <xf numFmtId="165" fontId="7" fillId="5" borderId="1" xfId="0" applyNumberFormat="1" applyFont="1" applyFill="1" applyBorder="1" applyAlignment="1">
      <alignment horizontal="right" vertical="center"/>
    </xf>
    <xf numFmtId="0" fontId="7" fillId="6" borderId="1" xfId="0" applyFont="1" applyFill="1" applyBorder="1" applyAlignment="1">
      <alignment vertical="center"/>
    </xf>
    <xf numFmtId="0" fontId="5" fillId="6" borderId="1" xfId="0" applyFont="1" applyFill="1" applyBorder="1" applyAlignment="1">
      <alignment vertical="center"/>
    </xf>
    <xf numFmtId="0" fontId="2" fillId="6" borderId="1" xfId="0" applyFont="1" applyFill="1" applyBorder="1" applyAlignment="1">
      <alignment vertical="center"/>
    </xf>
    <xf numFmtId="165" fontId="5" fillId="6" borderId="1" xfId="0" applyNumberFormat="1" applyFont="1" applyFill="1" applyBorder="1" applyAlignment="1">
      <alignment vertical="center"/>
    </xf>
    <xf numFmtId="164" fontId="5" fillId="6" borderId="1" xfId="0" applyNumberFormat="1" applyFont="1" applyFill="1" applyBorder="1" applyAlignment="1">
      <alignment vertical="center"/>
    </xf>
    <xf numFmtId="0" fontId="5" fillId="6" borderId="1" xfId="0" applyFont="1" applyFill="1" applyBorder="1" applyAlignment="1">
      <alignment horizontal="center" vertical="center"/>
    </xf>
    <xf numFmtId="0" fontId="10" fillId="0" borderId="0" xfId="0" applyFont="1"/>
    <xf numFmtId="164" fontId="5" fillId="7" borderId="1" xfId="0" applyNumberFormat="1" applyFont="1" applyFill="1" applyBorder="1" applyAlignment="1">
      <alignment horizontal="center" vertical="center"/>
    </xf>
    <xf numFmtId="0" fontId="8" fillId="6" borderId="1" xfId="0" applyFont="1" applyFill="1" applyBorder="1" applyAlignment="1">
      <alignment vertical="center" wrapText="1"/>
    </xf>
    <xf numFmtId="0" fontId="11" fillId="0" borderId="1" xfId="0" applyFont="1" applyBorder="1" applyAlignment="1">
      <alignment horizontal="center" vertical="center"/>
    </xf>
    <xf numFmtId="0" fontId="5" fillId="7" borderId="1" xfId="0" applyFont="1" applyFill="1" applyBorder="1" applyAlignment="1">
      <alignment vertical="center"/>
    </xf>
    <xf numFmtId="164" fontId="5" fillId="7" borderId="1" xfId="0" applyNumberFormat="1" applyFont="1" applyFill="1" applyBorder="1" applyAlignment="1">
      <alignment vertical="center"/>
    </xf>
    <xf numFmtId="0" fontId="6" fillId="3" borderId="1" xfId="0" applyFont="1" applyFill="1" applyBorder="1" applyAlignment="1">
      <alignment horizontal="right" vertical="center"/>
    </xf>
    <xf numFmtId="1" fontId="5" fillId="0" borderId="1" xfId="0" applyNumberFormat="1" applyFont="1" applyBorder="1" applyAlignment="1">
      <alignment vertical="center"/>
    </xf>
    <xf numFmtId="164" fontId="5" fillId="6" borderId="1" xfId="0" applyNumberFormat="1" applyFont="1" applyFill="1" applyBorder="1" applyAlignment="1">
      <alignment horizontal="center" vertical="center"/>
    </xf>
    <xf numFmtId="165" fontId="5" fillId="0" borderId="1" xfId="0" applyNumberFormat="1" applyFont="1" applyBorder="1" applyAlignment="1">
      <alignment vertical="center"/>
    </xf>
    <xf numFmtId="0" fontId="5" fillId="0" borderId="0" xfId="0" applyFont="1" applyAlignment="1">
      <alignment vertical="center"/>
    </xf>
    <xf numFmtId="0" fontId="8" fillId="5" borderId="1" xfId="0" applyFont="1" applyFill="1" applyBorder="1" applyAlignment="1">
      <alignment vertical="center" wrapText="1"/>
    </xf>
    <xf numFmtId="0" fontId="6" fillId="0" borderId="1" xfId="0" applyFont="1" applyBorder="1" applyAlignment="1">
      <alignment horizontal="center" vertical="center"/>
    </xf>
    <xf numFmtId="1" fontId="6" fillId="0" borderId="1" xfId="0" applyNumberFormat="1" applyFont="1" applyBorder="1" applyAlignment="1">
      <alignment horizontal="right" vertical="center"/>
    </xf>
    <xf numFmtId="0" fontId="8" fillId="6" borderId="1" xfId="0" applyFont="1" applyFill="1" applyBorder="1" applyAlignment="1">
      <alignment horizontal="center" vertical="center" wrapText="1"/>
    </xf>
    <xf numFmtId="0" fontId="7" fillId="7" borderId="1" xfId="0" applyFont="1" applyFill="1" applyBorder="1" applyAlignment="1">
      <alignment vertical="center"/>
    </xf>
    <xf numFmtId="0" fontId="12" fillId="0" borderId="0" xfId="0" applyFont="1"/>
    <xf numFmtId="165" fontId="7" fillId="0" borderId="1" xfId="0" applyNumberFormat="1" applyFont="1" applyBorder="1" applyAlignment="1">
      <alignment vertical="center"/>
    </xf>
    <xf numFmtId="9" fontId="7" fillId="0" borderId="1" xfId="0" applyNumberFormat="1" applyFont="1" applyBorder="1" applyAlignment="1">
      <alignment horizontal="center" vertical="center"/>
    </xf>
    <xf numFmtId="9" fontId="5" fillId="6" borderId="1" xfId="0" applyNumberFormat="1" applyFont="1" applyFill="1" applyBorder="1" applyAlignment="1">
      <alignment horizontal="center" vertical="center"/>
    </xf>
    <xf numFmtId="167" fontId="7" fillId="0" borderId="1" xfId="0" applyNumberFormat="1" applyFont="1" applyBorder="1" applyAlignment="1">
      <alignment horizontal="center" vertical="center"/>
    </xf>
    <xf numFmtId="1" fontId="5" fillId="6" borderId="1" xfId="0" applyNumberFormat="1" applyFont="1" applyFill="1" applyBorder="1" applyAlignment="1">
      <alignment horizontal="center" vertical="center"/>
    </xf>
    <xf numFmtId="1" fontId="7" fillId="0" borderId="1" xfId="0" applyNumberFormat="1" applyFont="1" applyBorder="1" applyAlignment="1">
      <alignment horizontal="center" vertical="center"/>
    </xf>
    <xf numFmtId="1" fontId="5" fillId="7" borderId="1" xfId="0" applyNumberFormat="1" applyFont="1" applyFill="1" applyBorder="1" applyAlignment="1">
      <alignment horizontal="center" vertical="center"/>
    </xf>
    <xf numFmtId="165" fontId="5" fillId="7" borderId="1" xfId="0" applyNumberFormat="1" applyFont="1" applyFill="1" applyBorder="1" applyAlignment="1">
      <alignment vertical="center"/>
    </xf>
    <xf numFmtId="0" fontId="8" fillId="0" borderId="1" xfId="0" applyFont="1" applyBorder="1" applyAlignment="1">
      <alignment vertical="center"/>
    </xf>
    <xf numFmtId="165" fontId="7" fillId="4" borderId="1" xfId="0" applyNumberFormat="1" applyFont="1" applyFill="1" applyBorder="1" applyAlignment="1">
      <alignment vertical="center"/>
    </xf>
    <xf numFmtId="165" fontId="7" fillId="5" borderId="1" xfId="0" applyNumberFormat="1" applyFont="1" applyFill="1" applyBorder="1" applyAlignment="1">
      <alignment vertical="center"/>
    </xf>
    <xf numFmtId="0" fontId="9" fillId="0" borderId="0" xfId="0" applyFont="1" applyAlignment="1">
      <alignment vertical="top" wrapText="1"/>
    </xf>
    <xf numFmtId="0" fontId="0" fillId="0" borderId="0" xfId="0"/>
    <xf numFmtId="0" fontId="8" fillId="0" borderId="0" xfId="0" applyFont="1" applyAlignment="1">
      <alignment vertical="top" wrapText="1"/>
    </xf>
    <xf numFmtId="0" fontId="6" fillId="3" borderId="1" xfId="0" applyFont="1" applyFill="1" applyBorder="1" applyAlignment="1">
      <alignment horizontal="left" vertical="center"/>
    </xf>
    <xf numFmtId="0" fontId="0" fillId="0" borderId="1" xfId="0" applyBorder="1"/>
    <xf numFmtId="166" fontId="7" fillId="0" borderId="1" xfId="0" applyNumberFormat="1" applyFont="1" applyBorder="1" applyAlignment="1">
      <alignment horizontal="left" vertical="center"/>
    </xf>
    <xf numFmtId="9" fontId="6" fillId="3" borderId="1" xfId="0" applyNumberFormat="1" applyFont="1" applyFill="1" applyBorder="1" applyAlignment="1">
      <alignment horizontal="left" vertical="center"/>
    </xf>
    <xf numFmtId="166" fontId="6" fillId="3" borderId="1" xfId="0" applyNumberFormat="1" applyFont="1" applyFill="1" applyBorder="1" applyAlignment="1">
      <alignment horizontal="left" vertical="center"/>
    </xf>
    <xf numFmtId="0" fontId="13" fillId="0" borderId="0" xfId="0" applyFont="1" applyAlignment="1">
      <alignment vertical="top" wrapText="1"/>
    </xf>
    <xf numFmtId="0" fontId="6" fillId="3" borderId="1" xfId="0" applyFont="1" applyFill="1" applyBorder="1" applyAlignment="1">
      <alignment vertical="top" wrapText="1"/>
    </xf>
  </cellXfs>
  <cellStyles count="1">
    <cellStyle name="Normal" xfId="0" builtinId="0"/>
  </cellStyles>
  <dxfs count="6">
    <dxf>
      <font>
        <color rgb="FFB45309"/>
        <name val="Arial"/>
      </font>
    </dxf>
    <dxf>
      <font>
        <color rgb="FFDC2626"/>
        <name val="Arial"/>
      </font>
    </dxf>
    <dxf>
      <font>
        <b/>
        <color rgb="FF15803D"/>
        <name val="Arial"/>
      </font>
    </dxf>
    <dxf>
      <font>
        <color rgb="FFB45309"/>
        <name val="Arial"/>
      </font>
    </dxf>
    <dxf>
      <font>
        <color rgb="FFDC2626"/>
        <name val="Arial"/>
      </font>
    </dxf>
    <dxf>
      <font>
        <b/>
        <color rgb="FF15803D"/>
        <name val="Arial"/>
      </font>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94A3B8"/>
  </sheetPr>
  <dimension ref="A1:B21"/>
  <sheetViews>
    <sheetView showGridLines="0" workbookViewId="0"/>
  </sheetViews>
  <sheetFormatPr defaultRowHeight="15" x14ac:dyDescent="0.25"/>
  <cols>
    <col min="1" max="1" width="16" customWidth="1"/>
    <col min="2" max="2" width="110" customWidth="1"/>
  </cols>
  <sheetData>
    <row r="1" spans="1:2" ht="20.25" x14ac:dyDescent="0.3">
      <c r="A1" s="1" t="s">
        <v>0</v>
      </c>
    </row>
    <row r="2" spans="1:2" x14ac:dyDescent="0.25">
      <c r="A2" s="2" t="s">
        <v>1</v>
      </c>
    </row>
    <row r="4" spans="1:2" x14ac:dyDescent="0.25">
      <c r="A4" s="3" t="s">
        <v>2</v>
      </c>
      <c r="B4" s="4"/>
    </row>
    <row r="5" spans="1:2" ht="32.1" customHeight="1" x14ac:dyDescent="0.25">
      <c r="A5" s="5" t="s">
        <v>3</v>
      </c>
      <c r="B5" s="6" t="s">
        <v>4</v>
      </c>
    </row>
    <row r="6" spans="1:2" ht="32.1" customHeight="1" x14ac:dyDescent="0.25">
      <c r="A6" s="5" t="s">
        <v>5</v>
      </c>
      <c r="B6" s="6" t="s">
        <v>6</v>
      </c>
    </row>
    <row r="7" spans="1:2" ht="32.1" customHeight="1" x14ac:dyDescent="0.25">
      <c r="A7" s="5" t="s">
        <v>7</v>
      </c>
      <c r="B7" s="6" t="s">
        <v>8</v>
      </c>
    </row>
    <row r="8" spans="1:2" ht="32.1" customHeight="1" x14ac:dyDescent="0.25">
      <c r="A8" s="5" t="s">
        <v>9</v>
      </c>
      <c r="B8" s="6" t="s">
        <v>10</v>
      </c>
    </row>
    <row r="9" spans="1:2" ht="32.1" customHeight="1" x14ac:dyDescent="0.25">
      <c r="A9" s="5" t="s">
        <v>11</v>
      </c>
      <c r="B9" s="6" t="s">
        <v>12</v>
      </c>
    </row>
    <row r="10" spans="1:2" ht="32.1" customHeight="1" x14ac:dyDescent="0.25">
      <c r="A10" s="5" t="s">
        <v>13</v>
      </c>
      <c r="B10" s="6" t="s">
        <v>14</v>
      </c>
    </row>
    <row r="11" spans="1:2" x14ac:dyDescent="0.25">
      <c r="A11" s="3" t="s">
        <v>15</v>
      </c>
      <c r="B11" s="4"/>
    </row>
    <row r="12" spans="1:2" ht="32.1" customHeight="1" x14ac:dyDescent="0.25">
      <c r="A12" s="5" t="s">
        <v>16</v>
      </c>
      <c r="B12" s="6" t="s">
        <v>17</v>
      </c>
    </row>
    <row r="13" spans="1:2" x14ac:dyDescent="0.25">
      <c r="A13" s="3" t="s">
        <v>18</v>
      </c>
      <c r="B13" s="4"/>
    </row>
    <row r="14" spans="1:2" ht="32.1" customHeight="1" x14ac:dyDescent="0.25">
      <c r="A14" s="5" t="s">
        <v>19</v>
      </c>
      <c r="B14" s="6" t="s">
        <v>20</v>
      </c>
    </row>
    <row r="15" spans="1:2" x14ac:dyDescent="0.25">
      <c r="A15" s="3" t="s">
        <v>21</v>
      </c>
      <c r="B15" s="4"/>
    </row>
    <row r="16" spans="1:2" ht="20.100000000000001" customHeight="1" x14ac:dyDescent="0.25">
      <c r="A16" s="7" t="s">
        <v>22</v>
      </c>
      <c r="B16" s="6" t="s">
        <v>23</v>
      </c>
    </row>
    <row r="17" spans="1:2" ht="20.100000000000001" customHeight="1" x14ac:dyDescent="0.25">
      <c r="A17" s="8" t="s">
        <v>24</v>
      </c>
      <c r="B17" s="6" t="s">
        <v>25</v>
      </c>
    </row>
    <row r="18" spans="1:2" ht="20.100000000000001" customHeight="1" x14ac:dyDescent="0.25">
      <c r="A18" s="5" t="s">
        <v>26</v>
      </c>
      <c r="B18" s="6" t="s">
        <v>27</v>
      </c>
    </row>
    <row r="19" spans="1:2" x14ac:dyDescent="0.25">
      <c r="A19" s="3" t="s">
        <v>28</v>
      </c>
      <c r="B19" s="4"/>
    </row>
    <row r="20" spans="1:2" ht="32.1" customHeight="1" x14ac:dyDescent="0.25">
      <c r="A20" s="5" t="s">
        <v>29</v>
      </c>
      <c r="B20" s="6" t="s">
        <v>30</v>
      </c>
    </row>
    <row r="21" spans="1:2" ht="32.1" customHeight="1" x14ac:dyDescent="0.25">
      <c r="A21" s="5" t="s">
        <v>29</v>
      </c>
      <c r="B21" s="6" t="s">
        <v>31</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EF4444"/>
  </sheetPr>
  <dimension ref="A1:K52"/>
  <sheetViews>
    <sheetView showGridLines="0" workbookViewId="0">
      <pane xSplit="1" ySplit="3" topLeftCell="B25" activePane="bottomRight" state="frozen"/>
      <selection pane="topRight"/>
      <selection pane="bottomLeft"/>
      <selection pane="bottomRight" activeCell="C7" sqref="C7"/>
    </sheetView>
  </sheetViews>
  <sheetFormatPr defaultRowHeight="15" x14ac:dyDescent="0.25"/>
  <cols>
    <col min="1" max="1" width="32" customWidth="1"/>
    <col min="2" max="2" width="22" customWidth="1"/>
    <col min="3" max="3" width="46" customWidth="1"/>
    <col min="4" max="5" width="15" customWidth="1"/>
    <col min="6" max="6" width="18" customWidth="1"/>
    <col min="7" max="7" width="20" customWidth="1"/>
    <col min="8" max="8" width="11" customWidth="1"/>
    <col min="9" max="9" width="16" customWidth="1"/>
    <col min="10" max="10" width="11" customWidth="1"/>
    <col min="11" max="11" width="50" customWidth="1"/>
  </cols>
  <sheetData>
    <row r="1" spans="1:11" ht="20.25" x14ac:dyDescent="0.3">
      <c r="A1" s="1" t="s">
        <v>32</v>
      </c>
    </row>
    <row r="2" spans="1:11" x14ac:dyDescent="0.25">
      <c r="A2" s="2" t="s">
        <v>33</v>
      </c>
    </row>
    <row r="4" spans="1:11" x14ac:dyDescent="0.25">
      <c r="A4" s="9" t="s">
        <v>34</v>
      </c>
    </row>
    <row r="5" spans="1:11" ht="32.1" customHeight="1" x14ac:dyDescent="0.25">
      <c r="A5" s="10" t="s">
        <v>35</v>
      </c>
      <c r="B5" s="10" t="s">
        <v>36</v>
      </c>
      <c r="C5" s="10" t="s">
        <v>37</v>
      </c>
      <c r="D5" s="10" t="s">
        <v>38</v>
      </c>
      <c r="E5" s="10" t="s">
        <v>39</v>
      </c>
      <c r="F5" s="10" t="s">
        <v>40</v>
      </c>
      <c r="G5" s="10" t="s">
        <v>41</v>
      </c>
      <c r="H5" s="10" t="s">
        <v>42</v>
      </c>
      <c r="I5" s="10" t="s">
        <v>43</v>
      </c>
      <c r="J5" s="10" t="s">
        <v>44</v>
      </c>
      <c r="K5" s="10" t="s">
        <v>45</v>
      </c>
    </row>
    <row r="6" spans="1:11" ht="51.95" customHeight="1" x14ac:dyDescent="0.25">
      <c r="A6" s="11" t="s">
        <v>46</v>
      </c>
      <c r="B6" s="12" t="s">
        <v>47</v>
      </c>
      <c r="C6" s="12" t="s">
        <v>48</v>
      </c>
      <c r="D6" s="13">
        <v>3000000</v>
      </c>
      <c r="E6" s="13">
        <v>10000000</v>
      </c>
      <c r="F6" s="14">
        <v>5000000</v>
      </c>
      <c r="G6" s="12" t="str">
        <f>IF(F6="","",IF(D6="","Theo thỏa thuận",IF(F6&lt;D6,"Thấp hơn khoảng thị trường",IF(AND(E6&lt;&gt;"",F6&gt;E6),"Cao hơn khoảng thị trường","Trong khoảng thị trường"))))</f>
        <v>Trong khoảng thị trường</v>
      </c>
      <c r="H6" s="15">
        <v>2.5</v>
      </c>
      <c r="I6" s="16">
        <f>H6*INDEX('Thông số'!$B$6:$B$10,MATCH("Senior Dev",'Thông số'!$A$6:$A$10,0))*'Thông số'!$B$26</f>
        <v>3500000</v>
      </c>
      <c r="J6" s="17">
        <f>IF(OR(F6="",F6=0),"",1-I6/F6)</f>
        <v>0.30000000000000004</v>
      </c>
      <c r="K6" s="12" t="s">
        <v>49</v>
      </c>
    </row>
    <row r="7" spans="1:11" ht="51.95" customHeight="1" x14ac:dyDescent="0.25">
      <c r="A7" s="11" t="s">
        <v>50</v>
      </c>
      <c r="B7" s="12" t="s">
        <v>51</v>
      </c>
      <c r="C7" s="12" t="s">
        <v>52</v>
      </c>
      <c r="D7" s="13">
        <v>7000000</v>
      </c>
      <c r="E7" s="13">
        <v>25000000</v>
      </c>
      <c r="F7" s="14">
        <v>12000000</v>
      </c>
      <c r="G7" s="12" t="str">
        <f>IF(F7="","",IF(D7="","Theo thỏa thuận",IF(F7&lt;D7,"Thấp hơn khoảng thị trường",IF(AND(E7&lt;&gt;"",F7&gt;E7),"Cao hơn khoảng thị trường","Trong khoảng thị trường"))))</f>
        <v>Trong khoảng thị trường</v>
      </c>
      <c r="H7" s="15">
        <v>6</v>
      </c>
      <c r="I7" s="16">
        <f>H7*INDEX('Thông số'!$B$6:$B$10,MATCH("Senior Dev",'Thông số'!$A$6:$A$10,0))*'Thông số'!$B$26</f>
        <v>8400000</v>
      </c>
      <c r="J7" s="17">
        <f>IF(OR(F7="",F7=0),"",1-I7/F7)</f>
        <v>0.30000000000000004</v>
      </c>
      <c r="K7" s="12" t="s">
        <v>53</v>
      </c>
    </row>
    <row r="8" spans="1:11" ht="51.95" customHeight="1" x14ac:dyDescent="0.25">
      <c r="A8" s="11" t="s">
        <v>54</v>
      </c>
      <c r="B8" s="12" t="s">
        <v>55</v>
      </c>
      <c r="C8" s="12" t="s">
        <v>56</v>
      </c>
      <c r="D8" s="13">
        <v>15000000</v>
      </c>
      <c r="E8" s="13">
        <v>40000000</v>
      </c>
      <c r="F8" s="14">
        <v>28000000</v>
      </c>
      <c r="G8" s="12" t="str">
        <f>IF(F8="","",IF(D8="","Theo thỏa thuận",IF(F8&lt;D8,"Thấp hơn khoảng thị trường",IF(AND(E8&lt;&gt;"",F8&gt;E8),"Cao hơn khoảng thị trường","Trong khoảng thị trường"))))</f>
        <v>Trong khoảng thị trường</v>
      </c>
      <c r="H8" s="15">
        <v>14</v>
      </c>
      <c r="I8" s="16">
        <f>H8*INDEX('Thông số'!$B$6:$B$10,MATCH("Senior Dev",'Thông số'!$A$6:$A$10,0))*'Thông số'!$B$26</f>
        <v>19600000</v>
      </c>
      <c r="J8" s="17">
        <f>IF(OR(F8="",F8=0),"",1-I8/F8)</f>
        <v>0.30000000000000004</v>
      </c>
      <c r="K8" s="12" t="s">
        <v>57</v>
      </c>
    </row>
    <row r="9" spans="1:11" ht="51.95" customHeight="1" x14ac:dyDescent="0.25">
      <c r="A9" s="11" t="s">
        <v>58</v>
      </c>
      <c r="B9" s="12" t="s">
        <v>59</v>
      </c>
      <c r="C9" s="12" t="s">
        <v>60</v>
      </c>
      <c r="D9" s="13">
        <v>39000000</v>
      </c>
      <c r="E9" s="13">
        <v>60000000</v>
      </c>
      <c r="F9" s="14">
        <v>45000000</v>
      </c>
      <c r="G9" s="12" t="str">
        <f>IF(F9="","",IF(D9="","Theo thỏa thuận",IF(F9&lt;D9,"Thấp hơn khoảng thị trường",IF(AND(E9&lt;&gt;"",F9&gt;E9),"Cao hơn khoảng thị trường","Trong khoảng thị trường"))))</f>
        <v>Trong khoảng thị trường</v>
      </c>
      <c r="H9" s="15">
        <v>26</v>
      </c>
      <c r="I9" s="16">
        <f>H9*INDEX('Thông số'!$B$6:$B$10,MATCH("Senior Dev",'Thông số'!$A$6:$A$10,0))*'Thông số'!$B$26</f>
        <v>36400000</v>
      </c>
      <c r="J9" s="17">
        <f>IF(OR(F9="",F9=0),"",1-I9/F9)</f>
        <v>0.19111111111111112</v>
      </c>
      <c r="K9" s="12" t="s">
        <v>61</v>
      </c>
    </row>
    <row r="11" spans="1:11" x14ac:dyDescent="0.25">
      <c r="A11" s="9" t="s">
        <v>62</v>
      </c>
    </row>
    <row r="12" spans="1:11" ht="32.1" customHeight="1" x14ac:dyDescent="0.25">
      <c r="A12" s="10" t="s">
        <v>35</v>
      </c>
      <c r="B12" s="10" t="s">
        <v>36</v>
      </c>
      <c r="C12" s="10" t="s">
        <v>37</v>
      </c>
      <c r="D12" s="10" t="s">
        <v>38</v>
      </c>
      <c r="E12" s="10" t="s">
        <v>39</v>
      </c>
      <c r="F12" s="10" t="s">
        <v>40</v>
      </c>
      <c r="G12" s="10" t="s">
        <v>41</v>
      </c>
      <c r="H12" s="10" t="s">
        <v>42</v>
      </c>
      <c r="I12" s="10" t="s">
        <v>43</v>
      </c>
      <c r="J12" s="10" t="s">
        <v>44</v>
      </c>
      <c r="K12" s="10" t="s">
        <v>45</v>
      </c>
    </row>
    <row r="13" spans="1:11" ht="51.95" customHeight="1" x14ac:dyDescent="0.25">
      <c r="A13" s="11" t="s">
        <v>63</v>
      </c>
      <c r="B13" s="12" t="s">
        <v>64</v>
      </c>
      <c r="C13" s="12" t="s">
        <v>65</v>
      </c>
      <c r="D13" s="13">
        <v>25000000</v>
      </c>
      <c r="E13" s="13">
        <v>45000000</v>
      </c>
      <c r="F13" s="14">
        <v>30000000</v>
      </c>
      <c r="G13" s="12" t="str">
        <f>IF(F13="","",IF(D13="","Theo thỏa thuận",IF(F13&lt;D13,"Thấp hơn khoảng thị trường",IF(AND(E13&lt;&gt;"",F13&gt;E13),"Cao hơn khoảng thị trường","Trong khoảng thị trường"))))</f>
        <v>Trong khoảng thị trường</v>
      </c>
      <c r="H13" s="15">
        <v>16</v>
      </c>
      <c r="I13" s="16">
        <f>H13*INDEX('Thông số'!$B$6:$B$10,MATCH("Senior Dev",'Thông số'!$A$6:$A$10,0))*'Thông số'!$B$26</f>
        <v>22400000</v>
      </c>
      <c r="J13" s="17">
        <f>IF(OR(F13="",F13=0),"",1-I13/F13)</f>
        <v>0.2533333333333333</v>
      </c>
      <c r="K13" s="12" t="s">
        <v>66</v>
      </c>
    </row>
    <row r="14" spans="1:11" ht="51.95" customHeight="1" x14ac:dyDescent="0.25">
      <c r="A14" s="11" t="s">
        <v>67</v>
      </c>
      <c r="B14" s="12" t="s">
        <v>68</v>
      </c>
      <c r="C14" s="12" t="s">
        <v>69</v>
      </c>
      <c r="D14" s="13">
        <v>45000000</v>
      </c>
      <c r="E14" s="13">
        <v>110000000</v>
      </c>
      <c r="F14" s="14">
        <v>70000000</v>
      </c>
      <c r="G14" s="12" t="str">
        <f>IF(F14="","",IF(D14="","Theo thỏa thuận",IF(F14&lt;D14,"Thấp hơn khoảng thị trường",IF(AND(E14&lt;&gt;"",F14&gt;E14),"Cao hơn khoảng thị trường","Trong khoảng thị trường"))))</f>
        <v>Trong khoảng thị trường</v>
      </c>
      <c r="H14" s="15">
        <v>38</v>
      </c>
      <c r="I14" s="16">
        <f>H14*INDEX('Thông số'!$B$6:$B$10,MATCH("Senior Dev",'Thông số'!$A$6:$A$10,0))*'Thông số'!$B$26</f>
        <v>53200000</v>
      </c>
      <c r="J14" s="17">
        <f>IF(OR(F14="",F14=0),"",1-I14/F14)</f>
        <v>0.24</v>
      </c>
      <c r="K14" s="12" t="s">
        <v>70</v>
      </c>
    </row>
    <row r="15" spans="1:11" ht="51.95" customHeight="1" x14ac:dyDescent="0.25">
      <c r="A15" s="11" t="s">
        <v>71</v>
      </c>
      <c r="B15" s="12" t="s">
        <v>72</v>
      </c>
      <c r="C15" s="12" t="s">
        <v>73</v>
      </c>
      <c r="D15" s="13">
        <v>60000000</v>
      </c>
      <c r="E15" s="13">
        <v>400000000</v>
      </c>
      <c r="F15" s="14">
        <v>85000000</v>
      </c>
      <c r="G15" s="12" t="str">
        <f>IF(F15="","",IF(D15="","Theo thỏa thuận",IF(F15&lt;D15,"Thấp hơn khoảng thị trường",IF(AND(E15&lt;&gt;"",F15&gt;E15),"Cao hơn khoảng thị trường","Trong khoảng thị trường"))))</f>
        <v>Trong khoảng thị trường</v>
      </c>
      <c r="H15" s="15">
        <v>45</v>
      </c>
      <c r="I15" s="16">
        <f>H15*INDEX('Thông số'!$B$6:$B$10,MATCH("Senior Dev",'Thông số'!$A$6:$A$10,0))*'Thông số'!$B$26</f>
        <v>62999999.999999993</v>
      </c>
      <c r="J15" s="17">
        <f>IF(OR(F15="",F15=0),"",1-I15/F15)</f>
        <v>0.25882352941176479</v>
      </c>
      <c r="K15" s="12" t="s">
        <v>74</v>
      </c>
    </row>
    <row r="16" spans="1:11" ht="51.95" customHeight="1" x14ac:dyDescent="0.25">
      <c r="A16" s="11" t="s">
        <v>75</v>
      </c>
      <c r="B16" s="12" t="s">
        <v>72</v>
      </c>
      <c r="C16" s="12" t="s">
        <v>76</v>
      </c>
      <c r="D16" s="13">
        <v>60000000</v>
      </c>
      <c r="E16" s="13">
        <v>400000000</v>
      </c>
      <c r="F16" s="14">
        <v>160000000</v>
      </c>
      <c r="G16" s="12" t="str">
        <f>IF(F16="","",IF(D16="","Theo thỏa thuận",IF(F16&lt;D16,"Thấp hơn khoảng thị trường",IF(AND(E16&lt;&gt;"",F16&gt;E16),"Cao hơn khoảng thị trường","Trong khoảng thị trường"))))</f>
        <v>Trong khoảng thị trường</v>
      </c>
      <c r="H16" s="15">
        <v>85</v>
      </c>
      <c r="I16" s="16">
        <f>H16*INDEX('Thông số'!$B$6:$B$10,MATCH("Senior Dev",'Thông số'!$A$6:$A$10,0))*'Thông số'!$B$26</f>
        <v>118999999.99999999</v>
      </c>
      <c r="J16" s="17">
        <f>IF(OR(F16="",F16=0),"",1-I16/F16)</f>
        <v>0.25625000000000009</v>
      </c>
      <c r="K16" s="12" t="s">
        <v>77</v>
      </c>
    </row>
    <row r="18" spans="1:11" x14ac:dyDescent="0.25">
      <c r="A18" s="9" t="s">
        <v>78</v>
      </c>
    </row>
    <row r="19" spans="1:11" ht="32.1" customHeight="1" x14ac:dyDescent="0.25">
      <c r="A19" s="10" t="s">
        <v>79</v>
      </c>
      <c r="B19" s="10" t="s">
        <v>80</v>
      </c>
      <c r="C19" s="10" t="s">
        <v>81</v>
      </c>
      <c r="D19" s="10" t="s">
        <v>38</v>
      </c>
      <c r="E19" s="10" t="s">
        <v>39</v>
      </c>
      <c r="F19" s="10" t="s">
        <v>40</v>
      </c>
      <c r="G19" s="10" t="s">
        <v>41</v>
      </c>
      <c r="H19" s="10" t="s">
        <v>42</v>
      </c>
      <c r="I19" s="10" t="s">
        <v>43</v>
      </c>
      <c r="J19" s="10" t="s">
        <v>44</v>
      </c>
      <c r="K19" s="10" t="s">
        <v>45</v>
      </c>
    </row>
    <row r="20" spans="1:11" ht="36" customHeight="1" x14ac:dyDescent="0.25">
      <c r="A20" s="11" t="s">
        <v>82</v>
      </c>
      <c r="B20" s="12" t="s">
        <v>83</v>
      </c>
      <c r="C20" s="12" t="s">
        <v>84</v>
      </c>
      <c r="D20" s="13">
        <v>500000</v>
      </c>
      <c r="E20" s="13">
        <v>500000</v>
      </c>
      <c r="F20" s="14">
        <v>500000</v>
      </c>
      <c r="G20" s="12" t="str">
        <f t="shared" ref="G20:G29" si="0">IF(F20="","",IF(D20="","Theo thỏa thuận",IF(F20&lt;D20,"Thấp hơn khoảng thị trường",IF(AND(E20&lt;&gt;"",F20&gt;E20),"Cao hơn khoảng thị trường","Trong khoảng thị trường"))))</f>
        <v>Trong khoảng thị trường</v>
      </c>
      <c r="H20" s="15">
        <v>0.25</v>
      </c>
      <c r="I20" s="16">
        <f>H20*INDEX('Thông số'!$B$6:$B$10,MATCH("Senior Dev",'Thông số'!$A$6:$A$10,0))*'Thông số'!$B$26</f>
        <v>350000</v>
      </c>
      <c r="J20" s="17">
        <f t="shared" ref="J20:J29" si="1">IF(OR(F20="",F20=0),"",1-I20/F20)</f>
        <v>0.30000000000000004</v>
      </c>
      <c r="K20" s="12" t="s">
        <v>85</v>
      </c>
    </row>
    <row r="21" spans="1:11" ht="36" customHeight="1" x14ac:dyDescent="0.25">
      <c r="A21" s="11" t="s">
        <v>86</v>
      </c>
      <c r="B21" s="12" t="s">
        <v>83</v>
      </c>
      <c r="C21" s="12" t="s">
        <v>87</v>
      </c>
      <c r="D21" s="13">
        <v>500000</v>
      </c>
      <c r="E21" s="13">
        <v>500000</v>
      </c>
      <c r="F21" s="14">
        <v>500000</v>
      </c>
      <c r="G21" s="12" t="str">
        <f t="shared" si="0"/>
        <v>Trong khoảng thị trường</v>
      </c>
      <c r="H21" s="15">
        <v>0.25</v>
      </c>
      <c r="I21" s="16">
        <f>H21*INDEX('Thông số'!$B$6:$B$10,MATCH("Senior Dev",'Thông số'!$A$6:$A$10,0))*'Thông số'!$B$26</f>
        <v>350000</v>
      </c>
      <c r="J21" s="17">
        <f t="shared" si="1"/>
        <v>0.30000000000000004</v>
      </c>
      <c r="K21" s="12" t="s">
        <v>85</v>
      </c>
    </row>
    <row r="22" spans="1:11" ht="36" customHeight="1" x14ac:dyDescent="0.25">
      <c r="A22" s="11" t="s">
        <v>88</v>
      </c>
      <c r="B22" s="12" t="s">
        <v>83</v>
      </c>
      <c r="C22" s="12" t="s">
        <v>89</v>
      </c>
      <c r="D22" s="13"/>
      <c r="E22" s="13"/>
      <c r="F22" s="14">
        <v>4000000</v>
      </c>
      <c r="G22" s="12" t="str">
        <f t="shared" si="0"/>
        <v>Theo thỏa thuận</v>
      </c>
      <c r="H22" s="15">
        <v>2</v>
      </c>
      <c r="I22" s="16">
        <f>H22*INDEX('Thông số'!$B$6:$B$10,MATCH("Senior Dev",'Thông số'!$A$6:$A$10,0))*'Thông số'!$B$26</f>
        <v>2800000</v>
      </c>
      <c r="J22" s="17">
        <f t="shared" si="1"/>
        <v>0.30000000000000004</v>
      </c>
      <c r="K22" s="12" t="s">
        <v>90</v>
      </c>
    </row>
    <row r="23" spans="1:11" ht="36" customHeight="1" x14ac:dyDescent="0.25">
      <c r="A23" s="11" t="s">
        <v>91</v>
      </c>
      <c r="B23" s="12" t="s">
        <v>83</v>
      </c>
      <c r="C23" s="12" t="s">
        <v>92</v>
      </c>
      <c r="D23" s="13">
        <v>1500000</v>
      </c>
      <c r="E23" s="13">
        <v>1500000</v>
      </c>
      <c r="F23" s="14">
        <v>1500000</v>
      </c>
      <c r="G23" s="12" t="str">
        <f t="shared" si="0"/>
        <v>Trong khoảng thị trường</v>
      </c>
      <c r="H23" s="15">
        <v>1</v>
      </c>
      <c r="I23" s="16">
        <f>H23*INDEX('Thông số'!$B$6:$B$10,MATCH("Senior Dev",'Thông số'!$A$6:$A$10,0))*'Thông số'!$B$26</f>
        <v>1400000</v>
      </c>
      <c r="J23" s="17">
        <f t="shared" si="1"/>
        <v>6.6666666666666652E-2</v>
      </c>
      <c r="K23" s="12" t="s">
        <v>93</v>
      </c>
    </row>
    <row r="24" spans="1:11" ht="36" customHeight="1" x14ac:dyDescent="0.25">
      <c r="A24" s="11" t="s">
        <v>94</v>
      </c>
      <c r="B24" s="12" t="s">
        <v>83</v>
      </c>
      <c r="C24" s="12" t="s">
        <v>95</v>
      </c>
      <c r="D24" s="13"/>
      <c r="E24" s="13"/>
      <c r="F24" s="14">
        <v>1500000</v>
      </c>
      <c r="G24" s="12" t="str">
        <f t="shared" si="0"/>
        <v>Theo thỏa thuận</v>
      </c>
      <c r="H24" s="15">
        <v>1</v>
      </c>
      <c r="I24" s="16">
        <f>H24*INDEX('Thông số'!$B$6:$B$10,MATCH("Senior Dev",'Thông số'!$A$6:$A$10,0))*'Thông số'!$B$26</f>
        <v>1400000</v>
      </c>
      <c r="J24" s="17">
        <f t="shared" si="1"/>
        <v>6.6666666666666652E-2</v>
      </c>
      <c r="K24" s="12" t="s">
        <v>96</v>
      </c>
    </row>
    <row r="25" spans="1:11" ht="36" customHeight="1" x14ac:dyDescent="0.25">
      <c r="A25" s="11" t="s">
        <v>97</v>
      </c>
      <c r="B25" s="12" t="s">
        <v>98</v>
      </c>
      <c r="C25" s="12" t="s">
        <v>99</v>
      </c>
      <c r="D25" s="13"/>
      <c r="E25" s="13"/>
      <c r="F25" s="14">
        <v>3000000</v>
      </c>
      <c r="G25" s="12" t="str">
        <f t="shared" si="0"/>
        <v>Theo thỏa thuận</v>
      </c>
      <c r="H25" s="15">
        <v>2</v>
      </c>
      <c r="I25" s="16">
        <f>H25*INDEX('Thông số'!$B$6:$B$10,MATCH("Senior Dev",'Thông số'!$A$6:$A$10,0))*'Thông số'!$B$26</f>
        <v>2800000</v>
      </c>
      <c r="J25" s="17">
        <f t="shared" si="1"/>
        <v>6.6666666666666652E-2</v>
      </c>
      <c r="K25" s="12" t="s">
        <v>100</v>
      </c>
    </row>
    <row r="26" spans="1:11" ht="36" customHeight="1" x14ac:dyDescent="0.25">
      <c r="A26" s="11" t="s">
        <v>101</v>
      </c>
      <c r="B26" s="12" t="s">
        <v>98</v>
      </c>
      <c r="C26" s="12" t="s">
        <v>102</v>
      </c>
      <c r="D26" s="13"/>
      <c r="E26" s="13"/>
      <c r="F26" s="14">
        <v>6000000</v>
      </c>
      <c r="G26" s="12" t="str">
        <f t="shared" si="0"/>
        <v>Theo thỏa thuận</v>
      </c>
      <c r="H26" s="15">
        <v>3</v>
      </c>
      <c r="I26" s="16">
        <f>H26*INDEX('Thông số'!$B$6:$B$10,MATCH("Senior Dev",'Thông số'!$A$6:$A$10,0))*'Thông số'!$B$26</f>
        <v>4200000</v>
      </c>
      <c r="J26" s="17">
        <f t="shared" si="1"/>
        <v>0.30000000000000004</v>
      </c>
      <c r="K26" s="12" t="s">
        <v>100</v>
      </c>
    </row>
    <row r="27" spans="1:11" ht="36" customHeight="1" x14ac:dyDescent="0.25">
      <c r="A27" s="11" t="s">
        <v>103</v>
      </c>
      <c r="B27" s="12" t="s">
        <v>98</v>
      </c>
      <c r="C27" s="12" t="s">
        <v>104</v>
      </c>
      <c r="D27" s="13"/>
      <c r="E27" s="13"/>
      <c r="F27" s="14">
        <v>8000000</v>
      </c>
      <c r="G27" s="12" t="str">
        <f t="shared" si="0"/>
        <v>Theo thỏa thuận</v>
      </c>
      <c r="H27" s="15">
        <v>4</v>
      </c>
      <c r="I27" s="16">
        <f>H27*INDEX('Thông số'!$B$6:$B$10,MATCH("Senior Dev",'Thông số'!$A$6:$A$10,0))*'Thông số'!$B$26</f>
        <v>5600000</v>
      </c>
      <c r="J27" s="17">
        <f t="shared" si="1"/>
        <v>0.30000000000000004</v>
      </c>
      <c r="K27" s="12" t="s">
        <v>100</v>
      </c>
    </row>
    <row r="28" spans="1:11" ht="36" customHeight="1" x14ac:dyDescent="0.25">
      <c r="A28" s="11" t="s">
        <v>105</v>
      </c>
      <c r="B28" s="12" t="s">
        <v>106</v>
      </c>
      <c r="C28" s="12" t="s">
        <v>107</v>
      </c>
      <c r="D28" s="13">
        <v>6000000</v>
      </c>
      <c r="E28" s="13">
        <v>20000000</v>
      </c>
      <c r="F28" s="14">
        <v>15000000</v>
      </c>
      <c r="G28" s="12" t="str">
        <f t="shared" si="0"/>
        <v>Trong khoảng thị trường</v>
      </c>
      <c r="H28" s="15">
        <v>8</v>
      </c>
      <c r="I28" s="16">
        <f>H28*INDEX('Thông số'!$B$6:$B$10,MATCH("Senior Dev",'Thông số'!$A$6:$A$10,0))*'Thông số'!$B$26</f>
        <v>11200000</v>
      </c>
      <c r="J28" s="17">
        <f t="shared" si="1"/>
        <v>0.2533333333333333</v>
      </c>
      <c r="K28" s="12" t="s">
        <v>108</v>
      </c>
    </row>
    <row r="29" spans="1:11" ht="36" customHeight="1" x14ac:dyDescent="0.25">
      <c r="A29" s="11" t="s">
        <v>109</v>
      </c>
      <c r="B29" s="12" t="s">
        <v>83</v>
      </c>
      <c r="C29" s="12" t="s">
        <v>110</v>
      </c>
      <c r="D29" s="13"/>
      <c r="E29" s="13"/>
      <c r="F29" s="14">
        <v>3000000</v>
      </c>
      <c r="G29" s="12" t="str">
        <f t="shared" si="0"/>
        <v>Theo thỏa thuận</v>
      </c>
      <c r="H29" s="15">
        <v>1.5</v>
      </c>
      <c r="I29" s="16">
        <f>H29*INDEX('Thông số'!$B$6:$B$10,MATCH("Senior Dev",'Thông số'!$A$6:$A$10,0))*'Thông số'!$B$26</f>
        <v>2100000</v>
      </c>
      <c r="J29" s="17">
        <f t="shared" si="1"/>
        <v>0.30000000000000004</v>
      </c>
      <c r="K29" s="12" t="s">
        <v>111</v>
      </c>
    </row>
    <row r="31" spans="1:11" x14ac:dyDescent="0.25">
      <c r="A31" s="9" t="s">
        <v>112</v>
      </c>
    </row>
    <row r="32" spans="1:11" ht="32.1" customHeight="1" x14ac:dyDescent="0.25">
      <c r="A32" s="10" t="s">
        <v>113</v>
      </c>
      <c r="B32" s="10" t="s">
        <v>114</v>
      </c>
      <c r="C32" s="10" t="s">
        <v>115</v>
      </c>
      <c r="D32" s="10" t="s">
        <v>38</v>
      </c>
      <c r="E32" s="10" t="s">
        <v>39</v>
      </c>
      <c r="F32" s="10" t="s">
        <v>116</v>
      </c>
      <c r="G32" s="10" t="s">
        <v>41</v>
      </c>
      <c r="H32" s="10"/>
      <c r="I32" s="10"/>
      <c r="J32" s="10"/>
      <c r="K32" s="10" t="s">
        <v>45</v>
      </c>
    </row>
    <row r="33" spans="1:11" ht="36" customHeight="1" x14ac:dyDescent="0.25">
      <c r="A33" s="11" t="s">
        <v>117</v>
      </c>
      <c r="B33" s="18" t="s">
        <v>118</v>
      </c>
      <c r="C33" s="12" t="s">
        <v>119</v>
      </c>
      <c r="D33" s="13">
        <v>200000</v>
      </c>
      <c r="E33" s="13">
        <v>500000</v>
      </c>
      <c r="F33" s="14">
        <v>400000</v>
      </c>
      <c r="G33" s="12" t="str">
        <f t="shared" ref="G33:G38" si="2">IF(F33&lt;D33,"Thấp hơn khoảng thị trường",IF(F33&gt;E33,"Cao hơn khoảng thị trường","Trong khoảng thị trường"))</f>
        <v>Trong khoảng thị trường</v>
      </c>
      <c r="H33" s="19"/>
      <c r="I33" s="19"/>
      <c r="J33" s="19"/>
      <c r="K33" s="12" t="s">
        <v>120</v>
      </c>
    </row>
    <row r="34" spans="1:11" ht="36" customHeight="1" x14ac:dyDescent="0.25">
      <c r="A34" s="11" t="s">
        <v>121</v>
      </c>
      <c r="B34" s="18" t="s">
        <v>118</v>
      </c>
      <c r="C34" s="12" t="s">
        <v>119</v>
      </c>
      <c r="D34" s="13">
        <v>600000</v>
      </c>
      <c r="E34" s="13">
        <v>1200000</v>
      </c>
      <c r="F34" s="14">
        <v>800000</v>
      </c>
      <c r="G34" s="12" t="str">
        <f t="shared" si="2"/>
        <v>Trong khoảng thị trường</v>
      </c>
      <c r="H34" s="19"/>
      <c r="I34" s="19"/>
      <c r="J34" s="19"/>
      <c r="K34" s="12" t="s">
        <v>122</v>
      </c>
    </row>
    <row r="35" spans="1:11" ht="36" customHeight="1" x14ac:dyDescent="0.25">
      <c r="A35" s="11" t="s">
        <v>123</v>
      </c>
      <c r="B35" s="18" t="s">
        <v>118</v>
      </c>
      <c r="C35" s="12" t="s">
        <v>124</v>
      </c>
      <c r="D35" s="13">
        <v>500000</v>
      </c>
      <c r="E35" s="13">
        <v>2000000</v>
      </c>
      <c r="F35" s="14">
        <v>1200000</v>
      </c>
      <c r="G35" s="12" t="str">
        <f t="shared" si="2"/>
        <v>Trong khoảng thị trường</v>
      </c>
      <c r="H35" s="19"/>
      <c r="I35" s="19"/>
      <c r="J35" s="19"/>
      <c r="K35" s="12" t="s">
        <v>125</v>
      </c>
    </row>
    <row r="36" spans="1:11" ht="36" customHeight="1" x14ac:dyDescent="0.25">
      <c r="A36" s="11" t="s">
        <v>126</v>
      </c>
      <c r="B36" s="18" t="s">
        <v>118</v>
      </c>
      <c r="C36" s="12" t="s">
        <v>127</v>
      </c>
      <c r="D36" s="13">
        <v>1000000</v>
      </c>
      <c r="E36" s="13">
        <v>5000000</v>
      </c>
      <c r="F36" s="14">
        <v>4200000</v>
      </c>
      <c r="G36" s="12" t="str">
        <f t="shared" si="2"/>
        <v>Trong khoảng thị trường</v>
      </c>
      <c r="H36" s="19"/>
      <c r="I36" s="19"/>
      <c r="J36" s="19"/>
      <c r="K36" s="12" t="s">
        <v>128</v>
      </c>
    </row>
    <row r="37" spans="1:11" ht="36" customHeight="1" x14ac:dyDescent="0.25">
      <c r="A37" s="11" t="s">
        <v>129</v>
      </c>
      <c r="B37" s="18" t="s">
        <v>118</v>
      </c>
      <c r="C37" s="12" t="s">
        <v>130</v>
      </c>
      <c r="D37" s="13">
        <v>0</v>
      </c>
      <c r="E37" s="13">
        <v>2000000</v>
      </c>
      <c r="F37" s="14">
        <v>0</v>
      </c>
      <c r="G37" s="12" t="str">
        <f t="shared" si="2"/>
        <v>Trong khoảng thị trường</v>
      </c>
      <c r="H37" s="19"/>
      <c r="I37" s="19"/>
      <c r="J37" s="19"/>
      <c r="K37" s="12" t="s">
        <v>131</v>
      </c>
    </row>
    <row r="38" spans="1:11" ht="36" customHeight="1" x14ac:dyDescent="0.25">
      <c r="A38" s="11" t="s">
        <v>132</v>
      </c>
      <c r="B38" s="18" t="s">
        <v>118</v>
      </c>
      <c r="C38" s="12" t="s">
        <v>133</v>
      </c>
      <c r="D38" s="13">
        <v>2000000</v>
      </c>
      <c r="E38" s="13">
        <v>5000000</v>
      </c>
      <c r="F38" s="20">
        <f>'Vận hành'!I23*12</f>
        <v>4860000</v>
      </c>
      <c r="G38" s="12" t="str">
        <f t="shared" si="2"/>
        <v>Trong khoảng thị trường</v>
      </c>
      <c r="H38" s="19"/>
      <c r="I38" s="19"/>
      <c r="J38" s="19"/>
      <c r="K38" s="12" t="s">
        <v>134</v>
      </c>
    </row>
    <row r="40" spans="1:11" x14ac:dyDescent="0.25">
      <c r="A40" s="9" t="s">
        <v>135</v>
      </c>
    </row>
    <row r="41" spans="1:11" x14ac:dyDescent="0.25">
      <c r="A41" s="76" t="s">
        <v>136</v>
      </c>
      <c r="B41" s="77"/>
      <c r="C41" s="77"/>
      <c r="D41" s="77"/>
      <c r="E41" s="77"/>
      <c r="F41" s="77"/>
      <c r="G41" s="77"/>
      <c r="H41" s="77"/>
      <c r="I41" s="77"/>
      <c r="J41" s="77"/>
      <c r="K41" s="77"/>
    </row>
    <row r="42" spans="1:11" x14ac:dyDescent="0.25">
      <c r="A42" s="76" t="s">
        <v>137</v>
      </c>
      <c r="B42" s="77"/>
      <c r="C42" s="77"/>
      <c r="D42" s="77"/>
      <c r="E42" s="77"/>
      <c r="F42" s="77"/>
      <c r="G42" s="77"/>
      <c r="H42" s="77"/>
      <c r="I42" s="77"/>
      <c r="J42" s="77"/>
      <c r="K42" s="77"/>
    </row>
    <row r="43" spans="1:11" x14ac:dyDescent="0.25">
      <c r="A43" s="76" t="s">
        <v>138</v>
      </c>
      <c r="B43" s="77"/>
      <c r="C43" s="77"/>
      <c r="D43" s="77"/>
      <c r="E43" s="77"/>
      <c r="F43" s="77"/>
      <c r="G43" s="77"/>
      <c r="H43" s="77"/>
      <c r="I43" s="77"/>
      <c r="J43" s="77"/>
      <c r="K43" s="77"/>
    </row>
    <row r="44" spans="1:11" x14ac:dyDescent="0.25">
      <c r="A44" s="76" t="s">
        <v>139</v>
      </c>
      <c r="B44" s="77"/>
      <c r="C44" s="77"/>
      <c r="D44" s="77"/>
      <c r="E44" s="77"/>
      <c r="F44" s="77"/>
      <c r="G44" s="77"/>
      <c r="H44" s="77"/>
      <c r="I44" s="77"/>
      <c r="J44" s="77"/>
      <c r="K44" s="77"/>
    </row>
    <row r="45" spans="1:11" x14ac:dyDescent="0.25">
      <c r="A45" s="76" t="s">
        <v>140</v>
      </c>
      <c r="B45" s="77"/>
      <c r="C45" s="77"/>
      <c r="D45" s="77"/>
      <c r="E45" s="77"/>
      <c r="F45" s="77"/>
      <c r="G45" s="77"/>
      <c r="H45" s="77"/>
      <c r="I45" s="77"/>
      <c r="J45" s="77"/>
      <c r="K45" s="77"/>
    </row>
    <row r="46" spans="1:11" x14ac:dyDescent="0.25">
      <c r="A46" s="76" t="s">
        <v>141</v>
      </c>
      <c r="B46" s="77"/>
      <c r="C46" s="77"/>
      <c r="D46" s="77"/>
      <c r="E46" s="77"/>
      <c r="F46" s="77"/>
      <c r="G46" s="77"/>
      <c r="H46" s="77"/>
      <c r="I46" s="77"/>
      <c r="J46" s="77"/>
      <c r="K46" s="77"/>
    </row>
    <row r="47" spans="1:11" x14ac:dyDescent="0.25">
      <c r="A47" s="76" t="s">
        <v>142</v>
      </c>
      <c r="B47" s="77"/>
      <c r="C47" s="77"/>
      <c r="D47" s="77"/>
      <c r="E47" s="77"/>
      <c r="F47" s="77"/>
      <c r="G47" s="77"/>
      <c r="H47" s="77"/>
      <c r="I47" s="77"/>
      <c r="J47" s="77"/>
      <c r="K47" s="77"/>
    </row>
    <row r="48" spans="1:11" x14ac:dyDescent="0.25">
      <c r="A48" s="76" t="s">
        <v>143</v>
      </c>
      <c r="B48" s="77"/>
      <c r="C48" s="77"/>
      <c r="D48" s="77"/>
      <c r="E48" s="77"/>
      <c r="F48" s="77"/>
      <c r="G48" s="77"/>
      <c r="H48" s="77"/>
      <c r="I48" s="77"/>
      <c r="J48" s="77"/>
      <c r="K48" s="77"/>
    </row>
    <row r="49" spans="1:11" x14ac:dyDescent="0.25">
      <c r="A49" s="76" t="s">
        <v>144</v>
      </c>
      <c r="B49" s="77"/>
      <c r="C49" s="77"/>
      <c r="D49" s="77"/>
      <c r="E49" s="77"/>
      <c r="F49" s="77"/>
      <c r="G49" s="77"/>
      <c r="H49" s="77"/>
      <c r="I49" s="77"/>
      <c r="J49" s="77"/>
      <c r="K49" s="77"/>
    </row>
    <row r="51" spans="1:11" x14ac:dyDescent="0.25">
      <c r="A51" s="9" t="s">
        <v>28</v>
      </c>
    </row>
    <row r="52" spans="1:11" ht="44.1" customHeight="1" x14ac:dyDescent="0.25">
      <c r="A52" s="76" t="s">
        <v>145</v>
      </c>
      <c r="B52" s="77"/>
      <c r="C52" s="77"/>
      <c r="D52" s="77"/>
      <c r="E52" s="77"/>
      <c r="F52" s="77"/>
      <c r="G52" s="77"/>
      <c r="H52" s="77"/>
      <c r="I52" s="77"/>
      <c r="J52" s="77"/>
      <c r="K52" s="77"/>
    </row>
  </sheetData>
  <mergeCells count="10">
    <mergeCell ref="A48:K48"/>
    <mergeCell ref="A43:K43"/>
    <mergeCell ref="A41:K41"/>
    <mergeCell ref="A49:K49"/>
    <mergeCell ref="A52:K52"/>
    <mergeCell ref="A47:K47"/>
    <mergeCell ref="A42:K42"/>
    <mergeCell ref="A46:K46"/>
    <mergeCell ref="A44:K44"/>
    <mergeCell ref="A45:K45"/>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26"/>
  <sheetViews>
    <sheetView showGridLines="0" workbookViewId="0">
      <pane ySplit="3" topLeftCell="A4" activePane="bottomLeft" state="frozen"/>
      <selection pane="bottomLeft"/>
    </sheetView>
  </sheetViews>
  <sheetFormatPr defaultRowHeight="15" x14ac:dyDescent="0.25"/>
  <cols>
    <col min="1" max="1" width="46" customWidth="1"/>
    <col min="2" max="2" width="20" customWidth="1"/>
    <col min="3" max="3" width="70" customWidth="1"/>
  </cols>
  <sheetData>
    <row r="1" spans="1:3" ht="20.25" x14ac:dyDescent="0.3">
      <c r="A1" s="1" t="s">
        <v>146</v>
      </c>
    </row>
    <row r="2" spans="1:3" x14ac:dyDescent="0.25">
      <c r="A2" s="2" t="s">
        <v>147</v>
      </c>
    </row>
    <row r="4" spans="1:3" x14ac:dyDescent="0.25">
      <c r="A4" s="9" t="s">
        <v>148</v>
      </c>
    </row>
    <row r="5" spans="1:3" ht="32.1" customHeight="1" x14ac:dyDescent="0.25">
      <c r="A5" s="10" t="s">
        <v>149</v>
      </c>
      <c r="B5" s="10" t="s">
        <v>150</v>
      </c>
      <c r="C5" s="10" t="s">
        <v>115</v>
      </c>
    </row>
    <row r="6" spans="1:3" x14ac:dyDescent="0.25">
      <c r="A6" s="21" t="s">
        <v>151</v>
      </c>
      <c r="B6" s="22">
        <v>1500000</v>
      </c>
      <c r="C6" s="6" t="s">
        <v>152</v>
      </c>
    </row>
    <row r="7" spans="1:3" x14ac:dyDescent="0.25">
      <c r="A7" s="21" t="s">
        <v>153</v>
      </c>
      <c r="B7" s="22">
        <v>1500000</v>
      </c>
      <c r="C7" s="6" t="s">
        <v>154</v>
      </c>
    </row>
    <row r="8" spans="1:3" x14ac:dyDescent="0.25">
      <c r="A8" s="21" t="s">
        <v>155</v>
      </c>
      <c r="B8" s="22">
        <v>2000000</v>
      </c>
      <c r="C8" s="6" t="s">
        <v>156</v>
      </c>
    </row>
    <row r="9" spans="1:3" x14ac:dyDescent="0.25">
      <c r="A9" s="21" t="s">
        <v>157</v>
      </c>
      <c r="B9" s="22">
        <v>2000000</v>
      </c>
      <c r="C9" s="6" t="s">
        <v>158</v>
      </c>
    </row>
    <row r="10" spans="1:3" x14ac:dyDescent="0.25">
      <c r="A10" s="21" t="s">
        <v>159</v>
      </c>
      <c r="B10" s="22">
        <v>1000000</v>
      </c>
      <c r="C10" s="6" t="s">
        <v>160</v>
      </c>
    </row>
    <row r="12" spans="1:3" x14ac:dyDescent="0.25">
      <c r="A12" s="9" t="s">
        <v>161</v>
      </c>
    </row>
    <row r="13" spans="1:3" ht="32.1" customHeight="1" x14ac:dyDescent="0.25">
      <c r="A13" s="10" t="s">
        <v>162</v>
      </c>
      <c r="B13" s="10" t="s">
        <v>163</v>
      </c>
      <c r="C13" s="10" t="s">
        <v>115</v>
      </c>
    </row>
    <row r="14" spans="1:3" x14ac:dyDescent="0.25">
      <c r="A14" s="6" t="s">
        <v>164</v>
      </c>
      <c r="B14" s="23">
        <v>0.08</v>
      </c>
      <c r="C14" s="6" t="s">
        <v>165</v>
      </c>
    </row>
    <row r="15" spans="1:3" x14ac:dyDescent="0.25">
      <c r="A15" s="6" t="s">
        <v>166</v>
      </c>
      <c r="B15" s="23">
        <v>0.1</v>
      </c>
      <c r="C15" s="6" t="s">
        <v>167</v>
      </c>
    </row>
    <row r="16" spans="1:3" x14ac:dyDescent="0.25">
      <c r="A16" s="6" t="s">
        <v>168</v>
      </c>
      <c r="B16" s="23">
        <v>0.1</v>
      </c>
      <c r="C16" s="6" t="s">
        <v>169</v>
      </c>
    </row>
    <row r="17" spans="1:3" x14ac:dyDescent="0.25">
      <c r="A17" s="6" t="s">
        <v>170</v>
      </c>
      <c r="B17" s="24">
        <v>5</v>
      </c>
      <c r="C17" s="6" t="s">
        <v>171</v>
      </c>
    </row>
    <row r="18" spans="1:3" x14ac:dyDescent="0.25">
      <c r="A18" s="6" t="s">
        <v>172</v>
      </c>
      <c r="B18" s="23">
        <v>0.8</v>
      </c>
      <c r="C18" s="6" t="s">
        <v>173</v>
      </c>
    </row>
    <row r="19" spans="1:3" x14ac:dyDescent="0.25">
      <c r="A19" s="6" t="s">
        <v>174</v>
      </c>
      <c r="B19" s="23">
        <v>0.3</v>
      </c>
      <c r="C19" s="6" t="s">
        <v>175</v>
      </c>
    </row>
    <row r="20" spans="1:3" x14ac:dyDescent="0.25">
      <c r="A20" s="6" t="s">
        <v>176</v>
      </c>
      <c r="B20" s="23">
        <v>0.4</v>
      </c>
      <c r="C20" s="6"/>
    </row>
    <row r="21" spans="1:3" x14ac:dyDescent="0.25">
      <c r="A21" s="6" t="s">
        <v>177</v>
      </c>
      <c r="B21" s="23">
        <v>0.3</v>
      </c>
      <c r="C21" s="6"/>
    </row>
    <row r="22" spans="1:3" x14ac:dyDescent="0.25">
      <c r="A22" s="6" t="s">
        <v>178</v>
      </c>
      <c r="B22" s="24">
        <v>30</v>
      </c>
      <c r="C22" s="6"/>
    </row>
    <row r="23" spans="1:3" x14ac:dyDescent="0.25">
      <c r="A23" s="6" t="s">
        <v>179</v>
      </c>
      <c r="B23" s="24">
        <v>2</v>
      </c>
      <c r="C23" s="6" t="s">
        <v>180</v>
      </c>
    </row>
    <row r="24" spans="1:3" x14ac:dyDescent="0.25">
      <c r="A24" s="6" t="s">
        <v>181</v>
      </c>
      <c r="B24" s="24">
        <v>30</v>
      </c>
      <c r="C24" s="6" t="s">
        <v>182</v>
      </c>
    </row>
    <row r="25" spans="1:3" x14ac:dyDescent="0.25">
      <c r="A25" s="21" t="s">
        <v>183</v>
      </c>
      <c r="B25" s="21" t="str">
        <f>IF(ROUND(SUM(B19:B21),4)=1,"Đúng 100%","Sai: tổng khác 100%")</f>
        <v>Đúng 100%</v>
      </c>
      <c r="C25" s="6"/>
    </row>
    <row r="26" spans="1:3" ht="51" x14ac:dyDescent="0.25">
      <c r="A26" s="6" t="s">
        <v>184</v>
      </c>
      <c r="B26" s="23">
        <v>0.7</v>
      </c>
      <c r="C26" s="6" t="s">
        <v>185</v>
      </c>
    </row>
  </sheetData>
  <pageMargins left="0.75" right="0.75" top="1" bottom="1" header="0.5" footer="0.5"/>
  <legacy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0F172A"/>
  </sheetPr>
  <dimension ref="A1:V77"/>
  <sheetViews>
    <sheetView showGridLines="0" tabSelected="1" workbookViewId="0">
      <pane xSplit="3" ySplit="5" topLeftCell="D6" activePane="bottomRight" state="frozen"/>
      <selection pane="topRight"/>
      <selection pane="bottomLeft"/>
      <selection pane="bottomRight"/>
    </sheetView>
  </sheetViews>
  <sheetFormatPr defaultRowHeight="15" x14ac:dyDescent="0.25"/>
  <cols>
    <col min="1" max="1" width="6" customWidth="1"/>
    <col min="2" max="2" width="26" customWidth="1"/>
    <col min="3" max="3" width="42" customWidth="1"/>
    <col min="4" max="4" width="46" customWidth="1"/>
    <col min="5" max="5" width="12" customWidth="1"/>
    <col min="6" max="6" width="10" customWidth="1"/>
    <col min="7" max="8" width="16" customWidth="1"/>
    <col min="9" max="14" width="11" customWidth="1"/>
    <col min="15" max="15" width="12" customWidth="1"/>
    <col min="16" max="16" width="11" customWidth="1"/>
    <col min="17" max="17" width="16" customWidth="1"/>
    <col min="18" max="20" width="11" customWidth="1"/>
    <col min="21" max="22" width="12" customWidth="1"/>
  </cols>
  <sheetData>
    <row r="1" spans="1:22" ht="20.25" x14ac:dyDescent="0.3">
      <c r="A1" s="1" t="s">
        <v>186</v>
      </c>
    </row>
    <row r="2" spans="1:22" x14ac:dyDescent="0.25">
      <c r="A2" s="2" t="s">
        <v>187</v>
      </c>
    </row>
    <row r="5" spans="1:22" ht="32.1" customHeight="1" x14ac:dyDescent="0.25">
      <c r="A5" s="10" t="s">
        <v>188</v>
      </c>
      <c r="B5" s="10" t="s">
        <v>189</v>
      </c>
      <c r="C5" s="10" t="s">
        <v>190</v>
      </c>
      <c r="D5" s="10" t="s">
        <v>191</v>
      </c>
      <c r="E5" s="10" t="s">
        <v>149</v>
      </c>
      <c r="F5" s="10" t="s">
        <v>192</v>
      </c>
      <c r="G5" s="10" t="s">
        <v>193</v>
      </c>
      <c r="H5" s="10" t="s">
        <v>194</v>
      </c>
      <c r="I5" s="10" t="s">
        <v>195</v>
      </c>
      <c r="J5" s="10" t="s">
        <v>196</v>
      </c>
      <c r="K5" s="10" t="s">
        <v>197</v>
      </c>
      <c r="L5" s="10" t="s">
        <v>198</v>
      </c>
      <c r="M5" s="10" t="s">
        <v>199</v>
      </c>
      <c r="N5" s="10" t="s">
        <v>200</v>
      </c>
      <c r="O5" s="10" t="s">
        <v>201</v>
      </c>
      <c r="P5" s="10" t="s">
        <v>202</v>
      </c>
      <c r="Q5" s="10" t="s">
        <v>203</v>
      </c>
      <c r="R5" s="10" t="s">
        <v>204</v>
      </c>
      <c r="S5" s="10" t="s">
        <v>46</v>
      </c>
      <c r="T5" s="10" t="s">
        <v>50</v>
      </c>
      <c r="U5" s="10" t="s">
        <v>54</v>
      </c>
      <c r="V5" s="10" t="s">
        <v>58</v>
      </c>
    </row>
    <row r="6" spans="1:22" ht="30" customHeight="1" x14ac:dyDescent="0.25">
      <c r="A6" s="25" t="s">
        <v>205</v>
      </c>
      <c r="B6" s="26" t="s">
        <v>206</v>
      </c>
      <c r="C6" s="27" t="s">
        <v>207</v>
      </c>
      <c r="D6" s="28" t="s">
        <v>208</v>
      </c>
      <c r="E6" s="29" t="s">
        <v>151</v>
      </c>
      <c r="F6" s="30">
        <v>0.5</v>
      </c>
      <c r="G6" s="31">
        <f>INDEX('Thông số'!$B$6:$B$10,MATCH(E6,'Thông số'!$A$6:$A$10,0))*'Thông số'!$B$26</f>
        <v>1050000</v>
      </c>
      <c r="H6" s="31">
        <f t="shared" ref="H6:H37" si="0">F6*G6</f>
        <v>525000</v>
      </c>
      <c r="I6" s="29">
        <v>1</v>
      </c>
      <c r="J6" s="29">
        <v>1</v>
      </c>
      <c r="K6" s="29">
        <v>1</v>
      </c>
      <c r="L6" s="29">
        <v>1</v>
      </c>
      <c r="M6" s="29">
        <v>1</v>
      </c>
      <c r="N6" s="29">
        <v>1</v>
      </c>
      <c r="O6" s="32">
        <v>1</v>
      </c>
      <c r="P6" s="33">
        <f t="shared" ref="P6:P37" si="1">F6*O6</f>
        <v>0.5</v>
      </c>
      <c r="Q6" s="31">
        <f t="shared" ref="Q6:Q37" si="2">H6*O6</f>
        <v>525000</v>
      </c>
      <c r="R6" s="25" t="str">
        <f t="shared" ref="R6:R37" si="3">IF(SUM(I6:N6)=0,"Tùy chọn","Trong gói")</f>
        <v>Trong gói</v>
      </c>
      <c r="S6" s="29">
        <v>1</v>
      </c>
      <c r="T6" s="29">
        <v>1</v>
      </c>
      <c r="U6" s="29">
        <v>1</v>
      </c>
      <c r="V6" s="29">
        <v>1</v>
      </c>
    </row>
    <row r="7" spans="1:22" ht="30" customHeight="1" x14ac:dyDescent="0.25">
      <c r="A7" s="25" t="s">
        <v>209</v>
      </c>
      <c r="B7" s="26" t="s">
        <v>206</v>
      </c>
      <c r="C7" s="27" t="s">
        <v>210</v>
      </c>
      <c r="D7" s="28" t="s">
        <v>211</v>
      </c>
      <c r="E7" s="29" t="s">
        <v>151</v>
      </c>
      <c r="F7" s="30">
        <v>3</v>
      </c>
      <c r="G7" s="31">
        <f>INDEX('Thông số'!$B$6:$B$10,MATCH(E7,'Thông số'!$A$6:$A$10,0))*'Thông số'!$B$26</f>
        <v>1050000</v>
      </c>
      <c r="H7" s="31">
        <f t="shared" si="0"/>
        <v>3150000</v>
      </c>
      <c r="I7" s="29">
        <v>0</v>
      </c>
      <c r="J7" s="29">
        <v>0</v>
      </c>
      <c r="K7" s="29">
        <v>1</v>
      </c>
      <c r="L7" s="29">
        <v>1</v>
      </c>
      <c r="M7" s="29">
        <v>1</v>
      </c>
      <c r="N7" s="29">
        <v>1</v>
      </c>
      <c r="O7" s="32">
        <v>1</v>
      </c>
      <c r="P7" s="33">
        <f t="shared" si="1"/>
        <v>3</v>
      </c>
      <c r="Q7" s="31">
        <f t="shared" si="2"/>
        <v>3150000</v>
      </c>
      <c r="R7" s="25" t="str">
        <f t="shared" si="3"/>
        <v>Trong gói</v>
      </c>
      <c r="S7" s="29">
        <v>0</v>
      </c>
      <c r="T7" s="29">
        <v>0</v>
      </c>
      <c r="U7" s="29">
        <v>1</v>
      </c>
      <c r="V7" s="29">
        <v>1</v>
      </c>
    </row>
    <row r="8" spans="1:22" ht="30" customHeight="1" x14ac:dyDescent="0.25">
      <c r="A8" s="25" t="s">
        <v>212</v>
      </c>
      <c r="B8" s="26" t="s">
        <v>206</v>
      </c>
      <c r="C8" s="27" t="s">
        <v>213</v>
      </c>
      <c r="D8" s="28" t="s">
        <v>214</v>
      </c>
      <c r="E8" s="29" t="s">
        <v>151</v>
      </c>
      <c r="F8" s="30">
        <v>1</v>
      </c>
      <c r="G8" s="31">
        <f>INDEX('Thông số'!$B$6:$B$10,MATCH(E8,'Thông số'!$A$6:$A$10,0))*'Thông số'!$B$26</f>
        <v>1050000</v>
      </c>
      <c r="H8" s="31">
        <f t="shared" si="0"/>
        <v>1050000</v>
      </c>
      <c r="I8" s="29">
        <v>0</v>
      </c>
      <c r="J8" s="29">
        <v>1</v>
      </c>
      <c r="K8" s="29">
        <v>1</v>
      </c>
      <c r="L8" s="29">
        <v>0</v>
      </c>
      <c r="M8" s="29">
        <v>0</v>
      </c>
      <c r="N8" s="29">
        <v>0</v>
      </c>
      <c r="O8" s="32">
        <v>1</v>
      </c>
      <c r="P8" s="33">
        <f t="shared" si="1"/>
        <v>1</v>
      </c>
      <c r="Q8" s="31">
        <f t="shared" si="2"/>
        <v>1050000</v>
      </c>
      <c r="R8" s="25" t="str">
        <f t="shared" si="3"/>
        <v>Trong gói</v>
      </c>
      <c r="S8" s="29">
        <v>0</v>
      </c>
      <c r="T8" s="29">
        <v>1</v>
      </c>
      <c r="U8" s="29">
        <v>1</v>
      </c>
      <c r="V8" s="29">
        <v>1</v>
      </c>
    </row>
    <row r="9" spans="1:22" ht="30" customHeight="1" x14ac:dyDescent="0.25">
      <c r="A9" s="25" t="s">
        <v>215</v>
      </c>
      <c r="B9" s="26" t="s">
        <v>206</v>
      </c>
      <c r="C9" s="27" t="s">
        <v>216</v>
      </c>
      <c r="D9" s="28" t="s">
        <v>217</v>
      </c>
      <c r="E9" s="29" t="s">
        <v>155</v>
      </c>
      <c r="F9" s="30">
        <v>3</v>
      </c>
      <c r="G9" s="31">
        <f>INDEX('Thông số'!$B$6:$B$10,MATCH(E9,'Thông số'!$A$6:$A$10,0))*'Thông số'!$B$26</f>
        <v>1400000</v>
      </c>
      <c r="H9" s="31">
        <f t="shared" si="0"/>
        <v>4200000</v>
      </c>
      <c r="I9" s="29">
        <v>0</v>
      </c>
      <c r="J9" s="29">
        <v>0</v>
      </c>
      <c r="K9" s="29">
        <v>1</v>
      </c>
      <c r="L9" s="29">
        <v>1</v>
      </c>
      <c r="M9" s="29">
        <v>1</v>
      </c>
      <c r="N9" s="29">
        <v>1</v>
      </c>
      <c r="O9" s="32">
        <v>1</v>
      </c>
      <c r="P9" s="33">
        <f t="shared" si="1"/>
        <v>3</v>
      </c>
      <c r="Q9" s="31">
        <f t="shared" si="2"/>
        <v>4200000</v>
      </c>
      <c r="R9" s="25" t="str">
        <f t="shared" si="3"/>
        <v>Trong gói</v>
      </c>
      <c r="S9" s="29">
        <v>0</v>
      </c>
      <c r="T9" s="29">
        <v>0</v>
      </c>
      <c r="U9" s="29">
        <v>1</v>
      </c>
      <c r="V9" s="29">
        <v>1</v>
      </c>
    </row>
    <row r="10" spans="1:22" ht="30" customHeight="1" x14ac:dyDescent="0.25">
      <c r="A10" s="25" t="s">
        <v>218</v>
      </c>
      <c r="B10" s="26" t="s">
        <v>206</v>
      </c>
      <c r="C10" s="27" t="s">
        <v>219</v>
      </c>
      <c r="D10" s="28" t="s">
        <v>220</v>
      </c>
      <c r="E10" s="29" t="s">
        <v>151</v>
      </c>
      <c r="F10" s="30">
        <v>0.5</v>
      </c>
      <c r="G10" s="31">
        <f>INDEX('Thông số'!$B$6:$B$10,MATCH(E10,'Thông số'!$A$6:$A$10,0))*'Thông số'!$B$26</f>
        <v>1050000</v>
      </c>
      <c r="H10" s="31">
        <f t="shared" si="0"/>
        <v>525000</v>
      </c>
      <c r="I10" s="29">
        <v>1</v>
      </c>
      <c r="J10" s="29">
        <v>1</v>
      </c>
      <c r="K10" s="29">
        <v>1</v>
      </c>
      <c r="L10" s="29">
        <v>1</v>
      </c>
      <c r="M10" s="29">
        <v>1</v>
      </c>
      <c r="N10" s="29">
        <v>1</v>
      </c>
      <c r="O10" s="32">
        <v>1</v>
      </c>
      <c r="P10" s="33">
        <f t="shared" si="1"/>
        <v>0.5</v>
      </c>
      <c r="Q10" s="31">
        <f t="shared" si="2"/>
        <v>525000</v>
      </c>
      <c r="R10" s="25" t="str">
        <f t="shared" si="3"/>
        <v>Trong gói</v>
      </c>
      <c r="S10" s="29">
        <v>1</v>
      </c>
      <c r="T10" s="29">
        <v>1</v>
      </c>
      <c r="U10" s="29">
        <v>1</v>
      </c>
      <c r="V10" s="29">
        <v>1</v>
      </c>
    </row>
    <row r="11" spans="1:22" ht="30" customHeight="1" x14ac:dyDescent="0.25">
      <c r="A11" s="34" t="s">
        <v>221</v>
      </c>
      <c r="B11" s="35" t="s">
        <v>222</v>
      </c>
      <c r="C11" s="36" t="s">
        <v>223</v>
      </c>
      <c r="D11" s="37" t="s">
        <v>224</v>
      </c>
      <c r="E11" s="38" t="s">
        <v>153</v>
      </c>
      <c r="F11" s="39">
        <v>1</v>
      </c>
      <c r="G11" s="40">
        <f>INDEX('Thông số'!$B$6:$B$10,MATCH(E11,'Thông số'!$A$6:$A$10,0))*'Thông số'!$B$26</f>
        <v>1050000</v>
      </c>
      <c r="H11" s="40">
        <f t="shared" si="0"/>
        <v>1050000</v>
      </c>
      <c r="I11" s="38">
        <v>1</v>
      </c>
      <c r="J11" s="38">
        <v>1</v>
      </c>
      <c r="K11" s="38">
        <v>1</v>
      </c>
      <c r="L11" s="38">
        <v>1</v>
      </c>
      <c r="M11" s="38">
        <v>1</v>
      </c>
      <c r="N11" s="38">
        <v>1</v>
      </c>
      <c r="O11" s="32">
        <v>1</v>
      </c>
      <c r="P11" s="41">
        <f t="shared" si="1"/>
        <v>1</v>
      </c>
      <c r="Q11" s="40">
        <f t="shared" si="2"/>
        <v>1050000</v>
      </c>
      <c r="R11" s="34" t="str">
        <f t="shared" si="3"/>
        <v>Trong gói</v>
      </c>
      <c r="S11" s="38">
        <v>1</v>
      </c>
      <c r="T11" s="38">
        <v>1</v>
      </c>
      <c r="U11" s="38">
        <v>1</v>
      </c>
      <c r="V11" s="38">
        <v>1</v>
      </c>
    </row>
    <row r="12" spans="1:22" ht="30" customHeight="1" x14ac:dyDescent="0.25">
      <c r="A12" s="34" t="s">
        <v>225</v>
      </c>
      <c r="B12" s="35" t="s">
        <v>222</v>
      </c>
      <c r="C12" s="36" t="s">
        <v>226</v>
      </c>
      <c r="D12" s="37" t="s">
        <v>227</v>
      </c>
      <c r="E12" s="38" t="s">
        <v>153</v>
      </c>
      <c r="F12" s="39">
        <v>3</v>
      </c>
      <c r="G12" s="40">
        <f>INDEX('Thông số'!$B$6:$B$10,MATCH(E12,'Thông số'!$A$6:$A$10,0))*'Thông số'!$B$26</f>
        <v>1050000</v>
      </c>
      <c r="H12" s="40">
        <f t="shared" si="0"/>
        <v>3150000</v>
      </c>
      <c r="I12" s="38">
        <v>1</v>
      </c>
      <c r="J12" s="38">
        <v>0</v>
      </c>
      <c r="K12" s="38">
        <v>0</v>
      </c>
      <c r="L12" s="38">
        <v>0</v>
      </c>
      <c r="M12" s="38">
        <v>0</v>
      </c>
      <c r="N12" s="38">
        <v>0</v>
      </c>
      <c r="O12" s="32">
        <v>0</v>
      </c>
      <c r="P12" s="41">
        <f t="shared" si="1"/>
        <v>0</v>
      </c>
      <c r="Q12" s="40">
        <f t="shared" si="2"/>
        <v>0</v>
      </c>
      <c r="R12" s="34" t="str">
        <f t="shared" si="3"/>
        <v>Trong gói</v>
      </c>
      <c r="S12" s="38">
        <v>1</v>
      </c>
      <c r="T12" s="38">
        <v>0</v>
      </c>
      <c r="U12" s="38">
        <v>0</v>
      </c>
      <c r="V12" s="38">
        <v>0</v>
      </c>
    </row>
    <row r="13" spans="1:22" ht="30" customHeight="1" x14ac:dyDescent="0.25">
      <c r="A13" s="34" t="s">
        <v>228</v>
      </c>
      <c r="B13" s="35" t="s">
        <v>222</v>
      </c>
      <c r="C13" s="36" t="s">
        <v>229</v>
      </c>
      <c r="D13" s="37" t="s">
        <v>230</v>
      </c>
      <c r="E13" s="38" t="s">
        <v>153</v>
      </c>
      <c r="F13" s="39">
        <v>6</v>
      </c>
      <c r="G13" s="40">
        <f>INDEX('Thông số'!$B$6:$B$10,MATCH(E13,'Thông số'!$A$6:$A$10,0))*'Thông số'!$B$26</f>
        <v>1050000</v>
      </c>
      <c r="H13" s="40">
        <f t="shared" si="0"/>
        <v>6300000</v>
      </c>
      <c r="I13" s="38">
        <v>0</v>
      </c>
      <c r="J13" s="38">
        <v>1</v>
      </c>
      <c r="K13" s="38">
        <v>1</v>
      </c>
      <c r="L13" s="38">
        <v>0</v>
      </c>
      <c r="M13" s="38">
        <v>0</v>
      </c>
      <c r="N13" s="38">
        <v>0</v>
      </c>
      <c r="O13" s="32">
        <v>1</v>
      </c>
      <c r="P13" s="41">
        <f t="shared" si="1"/>
        <v>6</v>
      </c>
      <c r="Q13" s="40">
        <f t="shared" si="2"/>
        <v>6300000</v>
      </c>
      <c r="R13" s="34" t="str">
        <f t="shared" si="3"/>
        <v>Trong gói</v>
      </c>
      <c r="S13" s="38">
        <v>0</v>
      </c>
      <c r="T13" s="38">
        <v>1</v>
      </c>
      <c r="U13" s="38">
        <v>1</v>
      </c>
      <c r="V13" s="38">
        <v>1</v>
      </c>
    </row>
    <row r="14" spans="1:22" ht="30" customHeight="1" x14ac:dyDescent="0.25">
      <c r="A14" s="34" t="s">
        <v>231</v>
      </c>
      <c r="B14" s="35" t="s">
        <v>222</v>
      </c>
      <c r="C14" s="36" t="s">
        <v>232</v>
      </c>
      <c r="D14" s="37" t="s">
        <v>233</v>
      </c>
      <c r="E14" s="38" t="s">
        <v>153</v>
      </c>
      <c r="F14" s="39">
        <v>6</v>
      </c>
      <c r="G14" s="40">
        <f>INDEX('Thông số'!$B$6:$B$10,MATCH(E14,'Thông số'!$A$6:$A$10,0))*'Thông số'!$B$26</f>
        <v>1050000</v>
      </c>
      <c r="H14" s="40">
        <f t="shared" si="0"/>
        <v>6300000</v>
      </c>
      <c r="I14" s="38">
        <v>0</v>
      </c>
      <c r="J14" s="38">
        <v>0</v>
      </c>
      <c r="K14" s="38">
        <v>1</v>
      </c>
      <c r="L14" s="38">
        <v>1</v>
      </c>
      <c r="M14" s="38">
        <v>1</v>
      </c>
      <c r="N14" s="38">
        <v>0</v>
      </c>
      <c r="O14" s="32">
        <v>1</v>
      </c>
      <c r="P14" s="41">
        <f t="shared" si="1"/>
        <v>6</v>
      </c>
      <c r="Q14" s="40">
        <f t="shared" si="2"/>
        <v>6300000</v>
      </c>
      <c r="R14" s="34" t="str">
        <f t="shared" si="3"/>
        <v>Trong gói</v>
      </c>
      <c r="S14" s="38">
        <v>0</v>
      </c>
      <c r="T14" s="38">
        <v>0</v>
      </c>
      <c r="U14" s="38">
        <v>1</v>
      </c>
      <c r="V14" s="38">
        <v>1</v>
      </c>
    </row>
    <row r="15" spans="1:22" ht="30" customHeight="1" x14ac:dyDescent="0.25">
      <c r="A15" s="34" t="s">
        <v>234</v>
      </c>
      <c r="B15" s="35" t="s">
        <v>222</v>
      </c>
      <c r="C15" s="36" t="s">
        <v>235</v>
      </c>
      <c r="D15" s="37" t="s">
        <v>236</v>
      </c>
      <c r="E15" s="38" t="s">
        <v>153</v>
      </c>
      <c r="F15" s="39">
        <v>3</v>
      </c>
      <c r="G15" s="40">
        <f>INDEX('Thông số'!$B$6:$B$10,MATCH(E15,'Thông số'!$A$6:$A$10,0))*'Thông số'!$B$26</f>
        <v>1050000</v>
      </c>
      <c r="H15" s="40">
        <f t="shared" si="0"/>
        <v>3150000</v>
      </c>
      <c r="I15" s="38">
        <v>0</v>
      </c>
      <c r="J15" s="38">
        <v>0</v>
      </c>
      <c r="K15" s="38">
        <v>0</v>
      </c>
      <c r="L15" s="38">
        <v>1</v>
      </c>
      <c r="M15" s="38">
        <v>1</v>
      </c>
      <c r="N15" s="38">
        <v>0</v>
      </c>
      <c r="O15" s="32">
        <v>0</v>
      </c>
      <c r="P15" s="41">
        <f t="shared" si="1"/>
        <v>0</v>
      </c>
      <c r="Q15" s="40">
        <f t="shared" si="2"/>
        <v>0</v>
      </c>
      <c r="R15" s="34" t="str">
        <f t="shared" si="3"/>
        <v>Trong gói</v>
      </c>
      <c r="S15" s="38">
        <v>0</v>
      </c>
      <c r="T15" s="38">
        <v>0</v>
      </c>
      <c r="U15" s="38">
        <v>0</v>
      </c>
      <c r="V15" s="38">
        <v>0</v>
      </c>
    </row>
    <row r="16" spans="1:22" ht="30" customHeight="1" x14ac:dyDescent="0.25">
      <c r="A16" s="34" t="s">
        <v>237</v>
      </c>
      <c r="B16" s="35" t="s">
        <v>222</v>
      </c>
      <c r="C16" s="36" t="s">
        <v>238</v>
      </c>
      <c r="D16" s="37" t="s">
        <v>239</v>
      </c>
      <c r="E16" s="38" t="s">
        <v>153</v>
      </c>
      <c r="F16" s="39">
        <v>4</v>
      </c>
      <c r="G16" s="40">
        <f>INDEX('Thông số'!$B$6:$B$10,MATCH(E16,'Thông số'!$A$6:$A$10,0))*'Thông số'!$B$26</f>
        <v>1050000</v>
      </c>
      <c r="H16" s="40">
        <f t="shared" si="0"/>
        <v>4200000</v>
      </c>
      <c r="I16" s="38">
        <v>0</v>
      </c>
      <c r="J16" s="38">
        <v>0</v>
      </c>
      <c r="K16" s="38">
        <v>0</v>
      </c>
      <c r="L16" s="38">
        <v>0</v>
      </c>
      <c r="M16" s="38">
        <v>0</v>
      </c>
      <c r="N16" s="38">
        <v>1</v>
      </c>
      <c r="O16" s="32">
        <v>0</v>
      </c>
      <c r="P16" s="41">
        <f t="shared" si="1"/>
        <v>0</v>
      </c>
      <c r="Q16" s="40">
        <f t="shared" si="2"/>
        <v>0</v>
      </c>
      <c r="R16" s="34" t="str">
        <f t="shared" si="3"/>
        <v>Trong gói</v>
      </c>
      <c r="S16" s="38">
        <v>0</v>
      </c>
      <c r="T16" s="38">
        <v>0</v>
      </c>
      <c r="U16" s="38">
        <v>0</v>
      </c>
      <c r="V16" s="38">
        <v>0</v>
      </c>
    </row>
    <row r="17" spans="1:22" ht="30" customHeight="1" x14ac:dyDescent="0.25">
      <c r="A17" s="34" t="s">
        <v>240</v>
      </c>
      <c r="B17" s="35" t="s">
        <v>222</v>
      </c>
      <c r="C17" s="36" t="s">
        <v>241</v>
      </c>
      <c r="D17" s="37" t="s">
        <v>242</v>
      </c>
      <c r="E17" s="38" t="s">
        <v>153</v>
      </c>
      <c r="F17" s="39">
        <v>1</v>
      </c>
      <c r="G17" s="40">
        <f>INDEX('Thông số'!$B$6:$B$10,MATCH(E17,'Thông số'!$A$6:$A$10,0))*'Thông số'!$B$26</f>
        <v>1050000</v>
      </c>
      <c r="H17" s="40">
        <f t="shared" si="0"/>
        <v>1050000</v>
      </c>
      <c r="I17" s="38">
        <v>1</v>
      </c>
      <c r="J17" s="38">
        <v>1</v>
      </c>
      <c r="K17" s="38">
        <v>1</v>
      </c>
      <c r="L17" s="38">
        <v>1</v>
      </c>
      <c r="M17" s="38">
        <v>1</v>
      </c>
      <c r="N17" s="38">
        <v>1</v>
      </c>
      <c r="O17" s="32">
        <v>1</v>
      </c>
      <c r="P17" s="41">
        <f t="shared" si="1"/>
        <v>1</v>
      </c>
      <c r="Q17" s="40">
        <f t="shared" si="2"/>
        <v>1050000</v>
      </c>
      <c r="R17" s="34" t="str">
        <f t="shared" si="3"/>
        <v>Trong gói</v>
      </c>
      <c r="S17" s="38">
        <v>1</v>
      </c>
      <c r="T17" s="38">
        <v>1</v>
      </c>
      <c r="U17" s="38">
        <v>1</v>
      </c>
      <c r="V17" s="38">
        <v>1</v>
      </c>
    </row>
    <row r="18" spans="1:22" ht="30" customHeight="1" x14ac:dyDescent="0.25">
      <c r="A18" s="25" t="s">
        <v>243</v>
      </c>
      <c r="B18" s="26" t="s">
        <v>244</v>
      </c>
      <c r="C18" s="27" t="s">
        <v>245</v>
      </c>
      <c r="D18" s="28" t="s">
        <v>246</v>
      </c>
      <c r="E18" s="29" t="s">
        <v>155</v>
      </c>
      <c r="F18" s="30">
        <v>3</v>
      </c>
      <c r="G18" s="31">
        <f>INDEX('Thông số'!$B$6:$B$10,MATCH(E18,'Thông số'!$A$6:$A$10,0))*'Thông số'!$B$26</f>
        <v>1400000</v>
      </c>
      <c r="H18" s="31">
        <f t="shared" si="0"/>
        <v>4200000</v>
      </c>
      <c r="I18" s="29">
        <v>1</v>
      </c>
      <c r="J18" s="29">
        <v>0</v>
      </c>
      <c r="K18" s="29">
        <v>0</v>
      </c>
      <c r="L18" s="29">
        <v>0</v>
      </c>
      <c r="M18" s="29">
        <v>0</v>
      </c>
      <c r="N18" s="29">
        <v>0</v>
      </c>
      <c r="O18" s="32">
        <v>0</v>
      </c>
      <c r="P18" s="33">
        <f t="shared" si="1"/>
        <v>0</v>
      </c>
      <c r="Q18" s="31">
        <f t="shared" si="2"/>
        <v>0</v>
      </c>
      <c r="R18" s="25" t="str">
        <f t="shared" si="3"/>
        <v>Trong gói</v>
      </c>
      <c r="S18" s="29">
        <v>1</v>
      </c>
      <c r="T18" s="29">
        <v>0</v>
      </c>
      <c r="U18" s="29">
        <v>0</v>
      </c>
      <c r="V18" s="29">
        <v>0</v>
      </c>
    </row>
    <row r="19" spans="1:22" ht="30" customHeight="1" x14ac:dyDescent="0.25">
      <c r="A19" s="25" t="s">
        <v>247</v>
      </c>
      <c r="B19" s="26" t="s">
        <v>244</v>
      </c>
      <c r="C19" s="27" t="s">
        <v>248</v>
      </c>
      <c r="D19" s="28" t="s">
        <v>249</v>
      </c>
      <c r="E19" s="29" t="s">
        <v>155</v>
      </c>
      <c r="F19" s="30">
        <v>8</v>
      </c>
      <c r="G19" s="31">
        <f>INDEX('Thông số'!$B$6:$B$10,MATCH(E19,'Thông số'!$A$6:$A$10,0))*'Thông số'!$B$26</f>
        <v>1400000</v>
      </c>
      <c r="H19" s="31">
        <f t="shared" si="0"/>
        <v>11200000</v>
      </c>
      <c r="I19" s="29">
        <v>0</v>
      </c>
      <c r="J19" s="29">
        <v>1</v>
      </c>
      <c r="K19" s="29">
        <v>1</v>
      </c>
      <c r="L19" s="29">
        <v>0</v>
      </c>
      <c r="M19" s="29">
        <v>0</v>
      </c>
      <c r="N19" s="29">
        <v>0</v>
      </c>
      <c r="O19" s="32">
        <v>1</v>
      </c>
      <c r="P19" s="33">
        <f t="shared" si="1"/>
        <v>8</v>
      </c>
      <c r="Q19" s="31">
        <f t="shared" si="2"/>
        <v>11200000</v>
      </c>
      <c r="R19" s="25" t="str">
        <f t="shared" si="3"/>
        <v>Trong gói</v>
      </c>
      <c r="S19" s="29">
        <v>0</v>
      </c>
      <c r="T19" s="29">
        <v>1</v>
      </c>
      <c r="U19" s="29">
        <v>1</v>
      </c>
      <c r="V19" s="29">
        <v>1</v>
      </c>
    </row>
    <row r="20" spans="1:22" ht="30" customHeight="1" x14ac:dyDescent="0.25">
      <c r="A20" s="25" t="s">
        <v>250</v>
      </c>
      <c r="B20" s="26" t="s">
        <v>244</v>
      </c>
      <c r="C20" s="27" t="s">
        <v>251</v>
      </c>
      <c r="D20" s="28" t="s">
        <v>252</v>
      </c>
      <c r="E20" s="29" t="s">
        <v>155</v>
      </c>
      <c r="F20" s="30">
        <v>2</v>
      </c>
      <c r="G20" s="31">
        <f>INDEX('Thông số'!$B$6:$B$10,MATCH(E20,'Thông số'!$A$6:$A$10,0))*'Thông số'!$B$26</f>
        <v>1400000</v>
      </c>
      <c r="H20" s="31">
        <f t="shared" si="0"/>
        <v>2800000</v>
      </c>
      <c r="I20" s="29">
        <v>1</v>
      </c>
      <c r="J20" s="29">
        <v>1</v>
      </c>
      <c r="K20" s="29">
        <v>1</v>
      </c>
      <c r="L20" s="29">
        <v>0</v>
      </c>
      <c r="M20" s="29">
        <v>0</v>
      </c>
      <c r="N20" s="29">
        <v>0</v>
      </c>
      <c r="O20" s="32">
        <v>1</v>
      </c>
      <c r="P20" s="33">
        <f t="shared" si="1"/>
        <v>2</v>
      </c>
      <c r="Q20" s="31">
        <f t="shared" si="2"/>
        <v>2800000</v>
      </c>
      <c r="R20" s="25" t="str">
        <f t="shared" si="3"/>
        <v>Trong gói</v>
      </c>
      <c r="S20" s="29">
        <v>1</v>
      </c>
      <c r="T20" s="29">
        <v>1</v>
      </c>
      <c r="U20" s="29">
        <v>1</v>
      </c>
      <c r="V20" s="29">
        <v>1</v>
      </c>
    </row>
    <row r="21" spans="1:22" ht="30" customHeight="1" x14ac:dyDescent="0.25">
      <c r="A21" s="25" t="s">
        <v>253</v>
      </c>
      <c r="B21" s="26" t="s">
        <v>244</v>
      </c>
      <c r="C21" s="27" t="s">
        <v>254</v>
      </c>
      <c r="D21" s="28" t="s">
        <v>255</v>
      </c>
      <c r="E21" s="29" t="s">
        <v>155</v>
      </c>
      <c r="F21" s="30">
        <v>1.5</v>
      </c>
      <c r="G21" s="31">
        <f>INDEX('Thông số'!$B$6:$B$10,MATCH(E21,'Thông số'!$A$6:$A$10,0))*'Thông số'!$B$26</f>
        <v>1400000</v>
      </c>
      <c r="H21" s="31">
        <f t="shared" si="0"/>
        <v>2100000</v>
      </c>
      <c r="I21" s="29">
        <v>1</v>
      </c>
      <c r="J21" s="29">
        <v>1</v>
      </c>
      <c r="K21" s="29">
        <v>1</v>
      </c>
      <c r="L21" s="29">
        <v>1</v>
      </c>
      <c r="M21" s="29">
        <v>0</v>
      </c>
      <c r="N21" s="29">
        <v>0</v>
      </c>
      <c r="O21" s="32">
        <v>1</v>
      </c>
      <c r="P21" s="33">
        <f t="shared" si="1"/>
        <v>1.5</v>
      </c>
      <c r="Q21" s="31">
        <f t="shared" si="2"/>
        <v>2100000</v>
      </c>
      <c r="R21" s="25" t="str">
        <f t="shared" si="3"/>
        <v>Trong gói</v>
      </c>
      <c r="S21" s="29">
        <v>1</v>
      </c>
      <c r="T21" s="29">
        <v>1</v>
      </c>
      <c r="U21" s="29">
        <v>1</v>
      </c>
      <c r="V21" s="29">
        <v>1</v>
      </c>
    </row>
    <row r="22" spans="1:22" ht="30" customHeight="1" x14ac:dyDescent="0.25">
      <c r="A22" s="25" t="s">
        <v>256</v>
      </c>
      <c r="B22" s="26" t="s">
        <v>244</v>
      </c>
      <c r="C22" s="27" t="s">
        <v>257</v>
      </c>
      <c r="D22" s="28" t="s">
        <v>258</v>
      </c>
      <c r="E22" s="29" t="s">
        <v>155</v>
      </c>
      <c r="F22" s="30">
        <v>5</v>
      </c>
      <c r="G22" s="31">
        <f>INDEX('Thông số'!$B$6:$B$10,MATCH(E22,'Thông số'!$A$6:$A$10,0))*'Thông số'!$B$26</f>
        <v>1400000</v>
      </c>
      <c r="H22" s="31">
        <f t="shared" si="0"/>
        <v>7000000</v>
      </c>
      <c r="I22" s="29">
        <v>0</v>
      </c>
      <c r="J22" s="29">
        <v>0</v>
      </c>
      <c r="K22" s="29">
        <v>1</v>
      </c>
      <c r="L22" s="29">
        <v>1</v>
      </c>
      <c r="M22" s="29">
        <v>1</v>
      </c>
      <c r="N22" s="29">
        <v>0</v>
      </c>
      <c r="O22" s="32">
        <v>1</v>
      </c>
      <c r="P22" s="33">
        <f t="shared" si="1"/>
        <v>5</v>
      </c>
      <c r="Q22" s="31">
        <f t="shared" si="2"/>
        <v>7000000</v>
      </c>
      <c r="R22" s="25" t="str">
        <f t="shared" si="3"/>
        <v>Trong gói</v>
      </c>
      <c r="S22" s="29">
        <v>0</v>
      </c>
      <c r="T22" s="29">
        <v>0</v>
      </c>
      <c r="U22" s="29">
        <v>1</v>
      </c>
      <c r="V22" s="29">
        <v>1</v>
      </c>
    </row>
    <row r="23" spans="1:22" ht="30" customHeight="1" x14ac:dyDescent="0.25">
      <c r="A23" s="25" t="s">
        <v>259</v>
      </c>
      <c r="B23" s="26" t="s">
        <v>244</v>
      </c>
      <c r="C23" s="27" t="s">
        <v>260</v>
      </c>
      <c r="D23" s="28" t="s">
        <v>261</v>
      </c>
      <c r="E23" s="29" t="s">
        <v>155</v>
      </c>
      <c r="F23" s="30">
        <v>6</v>
      </c>
      <c r="G23" s="31">
        <f>INDEX('Thông số'!$B$6:$B$10,MATCH(E23,'Thông số'!$A$6:$A$10,0))*'Thông số'!$B$26</f>
        <v>1400000</v>
      </c>
      <c r="H23" s="31">
        <f t="shared" si="0"/>
        <v>8400000</v>
      </c>
      <c r="I23" s="29">
        <v>0</v>
      </c>
      <c r="J23" s="29">
        <v>0</v>
      </c>
      <c r="K23" s="29">
        <v>0</v>
      </c>
      <c r="L23" s="29">
        <v>1</v>
      </c>
      <c r="M23" s="29">
        <v>1</v>
      </c>
      <c r="N23" s="29">
        <v>0</v>
      </c>
      <c r="O23" s="32">
        <v>0</v>
      </c>
      <c r="P23" s="33">
        <f t="shared" si="1"/>
        <v>0</v>
      </c>
      <c r="Q23" s="31">
        <f t="shared" si="2"/>
        <v>0</v>
      </c>
      <c r="R23" s="25" t="str">
        <f t="shared" si="3"/>
        <v>Trong gói</v>
      </c>
      <c r="S23" s="29">
        <v>0</v>
      </c>
      <c r="T23" s="29">
        <v>0</v>
      </c>
      <c r="U23" s="29">
        <v>0</v>
      </c>
      <c r="V23" s="29">
        <v>0</v>
      </c>
    </row>
    <row r="24" spans="1:22" ht="30" customHeight="1" x14ac:dyDescent="0.25">
      <c r="A24" s="25" t="s">
        <v>262</v>
      </c>
      <c r="B24" s="26" t="s">
        <v>244</v>
      </c>
      <c r="C24" s="27" t="s">
        <v>263</v>
      </c>
      <c r="D24" s="28" t="s">
        <v>264</v>
      </c>
      <c r="E24" s="29" t="s">
        <v>155</v>
      </c>
      <c r="F24" s="30">
        <v>10</v>
      </c>
      <c r="G24" s="31">
        <f>INDEX('Thông số'!$B$6:$B$10,MATCH(E24,'Thông số'!$A$6:$A$10,0))*'Thông số'!$B$26</f>
        <v>1400000</v>
      </c>
      <c r="H24" s="31">
        <f t="shared" si="0"/>
        <v>14000000</v>
      </c>
      <c r="I24" s="29">
        <v>0</v>
      </c>
      <c r="J24" s="29">
        <v>0</v>
      </c>
      <c r="K24" s="29">
        <v>0</v>
      </c>
      <c r="L24" s="29">
        <v>0</v>
      </c>
      <c r="M24" s="29">
        <v>0</v>
      </c>
      <c r="N24" s="29">
        <v>1</v>
      </c>
      <c r="O24" s="32">
        <v>0</v>
      </c>
      <c r="P24" s="33">
        <f t="shared" si="1"/>
        <v>0</v>
      </c>
      <c r="Q24" s="31">
        <f t="shared" si="2"/>
        <v>0</v>
      </c>
      <c r="R24" s="25" t="str">
        <f t="shared" si="3"/>
        <v>Trong gói</v>
      </c>
      <c r="S24" s="29">
        <v>0</v>
      </c>
      <c r="T24" s="29">
        <v>0</v>
      </c>
      <c r="U24" s="29">
        <v>0</v>
      </c>
      <c r="V24" s="29">
        <v>0</v>
      </c>
    </row>
    <row r="25" spans="1:22" ht="30" customHeight="1" x14ac:dyDescent="0.25">
      <c r="A25" s="25" t="s">
        <v>265</v>
      </c>
      <c r="B25" s="26" t="s">
        <v>244</v>
      </c>
      <c r="C25" s="27" t="s">
        <v>266</v>
      </c>
      <c r="D25" s="28" t="s">
        <v>267</v>
      </c>
      <c r="E25" s="29" t="s">
        <v>155</v>
      </c>
      <c r="F25" s="30">
        <v>3</v>
      </c>
      <c r="G25" s="31">
        <f>INDEX('Thông số'!$B$6:$B$10,MATCH(E25,'Thông số'!$A$6:$A$10,0))*'Thông số'!$B$26</f>
        <v>1400000</v>
      </c>
      <c r="H25" s="31">
        <f t="shared" si="0"/>
        <v>4200000</v>
      </c>
      <c r="I25" s="29">
        <v>0</v>
      </c>
      <c r="J25" s="29">
        <v>0</v>
      </c>
      <c r="K25" s="29">
        <v>0</v>
      </c>
      <c r="L25" s="29">
        <v>0</v>
      </c>
      <c r="M25" s="29">
        <v>0</v>
      </c>
      <c r="N25" s="29">
        <v>0</v>
      </c>
      <c r="O25" s="32">
        <v>0</v>
      </c>
      <c r="P25" s="33">
        <f t="shared" si="1"/>
        <v>0</v>
      </c>
      <c r="Q25" s="31">
        <f t="shared" si="2"/>
        <v>0</v>
      </c>
      <c r="R25" s="25" t="str">
        <f t="shared" si="3"/>
        <v>Tùy chọn</v>
      </c>
      <c r="S25" s="29">
        <v>0</v>
      </c>
      <c r="T25" s="29">
        <v>0</v>
      </c>
      <c r="U25" s="29">
        <v>0</v>
      </c>
      <c r="V25" s="29">
        <v>1</v>
      </c>
    </row>
    <row r="26" spans="1:22" ht="30" customHeight="1" x14ac:dyDescent="0.25">
      <c r="A26" s="34" t="s">
        <v>268</v>
      </c>
      <c r="B26" s="35" t="s">
        <v>269</v>
      </c>
      <c r="C26" s="36" t="s">
        <v>270</v>
      </c>
      <c r="D26" s="37" t="s">
        <v>271</v>
      </c>
      <c r="E26" s="38" t="s">
        <v>155</v>
      </c>
      <c r="F26" s="39">
        <v>2</v>
      </c>
      <c r="G26" s="40">
        <f>INDEX('Thông số'!$B$6:$B$10,MATCH(E26,'Thông số'!$A$6:$A$10,0))*'Thông số'!$B$26</f>
        <v>1400000</v>
      </c>
      <c r="H26" s="40">
        <f t="shared" si="0"/>
        <v>2800000</v>
      </c>
      <c r="I26" s="38">
        <v>0</v>
      </c>
      <c r="J26" s="38">
        <v>0</v>
      </c>
      <c r="K26" s="38">
        <v>1</v>
      </c>
      <c r="L26" s="38">
        <v>1</v>
      </c>
      <c r="M26" s="38">
        <v>1</v>
      </c>
      <c r="N26" s="38">
        <v>1</v>
      </c>
      <c r="O26" s="32">
        <v>1</v>
      </c>
      <c r="P26" s="41">
        <f t="shared" si="1"/>
        <v>2</v>
      </c>
      <c r="Q26" s="40">
        <f t="shared" si="2"/>
        <v>2800000</v>
      </c>
      <c r="R26" s="34" t="str">
        <f t="shared" si="3"/>
        <v>Trong gói</v>
      </c>
      <c r="S26" s="38">
        <v>0</v>
      </c>
      <c r="T26" s="38">
        <v>0</v>
      </c>
      <c r="U26" s="38">
        <v>1</v>
      </c>
      <c r="V26" s="38">
        <v>1</v>
      </c>
    </row>
    <row r="27" spans="1:22" ht="30" customHeight="1" x14ac:dyDescent="0.25">
      <c r="A27" s="34" t="s">
        <v>272</v>
      </c>
      <c r="B27" s="35" t="s">
        <v>269</v>
      </c>
      <c r="C27" s="36" t="s">
        <v>273</v>
      </c>
      <c r="D27" s="37" t="s">
        <v>274</v>
      </c>
      <c r="E27" s="38" t="s">
        <v>155</v>
      </c>
      <c r="F27" s="39">
        <v>4</v>
      </c>
      <c r="G27" s="40">
        <f>INDEX('Thông số'!$B$6:$B$10,MATCH(E27,'Thông số'!$A$6:$A$10,0))*'Thông số'!$B$26</f>
        <v>1400000</v>
      </c>
      <c r="H27" s="40">
        <f t="shared" si="0"/>
        <v>5600000</v>
      </c>
      <c r="I27" s="38">
        <v>0</v>
      </c>
      <c r="J27" s="38">
        <v>0</v>
      </c>
      <c r="K27" s="38">
        <v>1</v>
      </c>
      <c r="L27" s="38">
        <v>1</v>
      </c>
      <c r="M27" s="38">
        <v>1</v>
      </c>
      <c r="N27" s="38">
        <v>0</v>
      </c>
      <c r="O27" s="32">
        <v>1</v>
      </c>
      <c r="P27" s="41">
        <f t="shared" si="1"/>
        <v>4</v>
      </c>
      <c r="Q27" s="40">
        <f t="shared" si="2"/>
        <v>5600000</v>
      </c>
      <c r="R27" s="34" t="str">
        <f t="shared" si="3"/>
        <v>Trong gói</v>
      </c>
      <c r="S27" s="38">
        <v>0</v>
      </c>
      <c r="T27" s="38">
        <v>0</v>
      </c>
      <c r="U27" s="38">
        <v>1</v>
      </c>
      <c r="V27" s="38">
        <v>1</v>
      </c>
    </row>
    <row r="28" spans="1:22" ht="30" customHeight="1" x14ac:dyDescent="0.25">
      <c r="A28" s="34" t="s">
        <v>275</v>
      </c>
      <c r="B28" s="35" t="s">
        <v>269</v>
      </c>
      <c r="C28" s="36" t="s">
        <v>276</v>
      </c>
      <c r="D28" s="37" t="s">
        <v>277</v>
      </c>
      <c r="E28" s="38" t="s">
        <v>155</v>
      </c>
      <c r="F28" s="39">
        <v>3</v>
      </c>
      <c r="G28" s="40">
        <f>INDEX('Thông số'!$B$6:$B$10,MATCH(E28,'Thông số'!$A$6:$A$10,0))*'Thông số'!$B$26</f>
        <v>1400000</v>
      </c>
      <c r="H28" s="40">
        <f t="shared" si="0"/>
        <v>4200000</v>
      </c>
      <c r="I28" s="38">
        <v>0</v>
      </c>
      <c r="J28" s="38">
        <v>0</v>
      </c>
      <c r="K28" s="38">
        <v>1</v>
      </c>
      <c r="L28" s="38">
        <v>1</v>
      </c>
      <c r="M28" s="38">
        <v>1</v>
      </c>
      <c r="N28" s="38">
        <v>0</v>
      </c>
      <c r="O28" s="32">
        <v>1</v>
      </c>
      <c r="P28" s="41">
        <f t="shared" si="1"/>
        <v>3</v>
      </c>
      <c r="Q28" s="40">
        <f t="shared" si="2"/>
        <v>4200000</v>
      </c>
      <c r="R28" s="34" t="str">
        <f t="shared" si="3"/>
        <v>Trong gói</v>
      </c>
      <c r="S28" s="38">
        <v>0</v>
      </c>
      <c r="T28" s="38">
        <v>0</v>
      </c>
      <c r="U28" s="38">
        <v>1</v>
      </c>
      <c r="V28" s="38">
        <v>1</v>
      </c>
    </row>
    <row r="29" spans="1:22" ht="30" customHeight="1" x14ac:dyDescent="0.25">
      <c r="A29" s="34" t="s">
        <v>278</v>
      </c>
      <c r="B29" s="35" t="s">
        <v>269</v>
      </c>
      <c r="C29" s="36" t="s">
        <v>279</v>
      </c>
      <c r="D29" s="37" t="s">
        <v>280</v>
      </c>
      <c r="E29" s="38" t="s">
        <v>155</v>
      </c>
      <c r="F29" s="39">
        <v>5</v>
      </c>
      <c r="G29" s="40">
        <f>INDEX('Thông số'!$B$6:$B$10,MATCH(E29,'Thông số'!$A$6:$A$10,0))*'Thông số'!$B$26</f>
        <v>1400000</v>
      </c>
      <c r="H29" s="40">
        <f t="shared" si="0"/>
        <v>7000000</v>
      </c>
      <c r="I29" s="38">
        <v>0</v>
      </c>
      <c r="J29" s="38">
        <v>0</v>
      </c>
      <c r="K29" s="38">
        <v>0</v>
      </c>
      <c r="L29" s="38">
        <v>1</v>
      </c>
      <c r="M29" s="38">
        <v>1</v>
      </c>
      <c r="N29" s="38">
        <v>1</v>
      </c>
      <c r="O29" s="32">
        <v>0</v>
      </c>
      <c r="P29" s="41">
        <f t="shared" si="1"/>
        <v>0</v>
      </c>
      <c r="Q29" s="40">
        <f t="shared" si="2"/>
        <v>0</v>
      </c>
      <c r="R29" s="34" t="str">
        <f t="shared" si="3"/>
        <v>Trong gói</v>
      </c>
      <c r="S29" s="38">
        <v>0</v>
      </c>
      <c r="T29" s="38">
        <v>0</v>
      </c>
      <c r="U29" s="38">
        <v>0</v>
      </c>
      <c r="V29" s="38">
        <v>0</v>
      </c>
    </row>
    <row r="30" spans="1:22" ht="30" customHeight="1" x14ac:dyDescent="0.25">
      <c r="A30" s="34" t="s">
        <v>281</v>
      </c>
      <c r="B30" s="35" t="s">
        <v>269</v>
      </c>
      <c r="C30" s="36" t="s">
        <v>282</v>
      </c>
      <c r="D30" s="37" t="s">
        <v>283</v>
      </c>
      <c r="E30" s="38" t="s">
        <v>155</v>
      </c>
      <c r="F30" s="39">
        <v>2</v>
      </c>
      <c r="G30" s="40">
        <f>INDEX('Thông số'!$B$6:$B$10,MATCH(E30,'Thông số'!$A$6:$A$10,0))*'Thông số'!$B$26</f>
        <v>1400000</v>
      </c>
      <c r="H30" s="40">
        <f t="shared" si="0"/>
        <v>2800000</v>
      </c>
      <c r="I30" s="38">
        <v>0</v>
      </c>
      <c r="J30" s="38">
        <v>0</v>
      </c>
      <c r="K30" s="38">
        <v>0</v>
      </c>
      <c r="L30" s="38">
        <v>1</v>
      </c>
      <c r="M30" s="38">
        <v>1</v>
      </c>
      <c r="N30" s="38">
        <v>0</v>
      </c>
      <c r="O30" s="32">
        <v>0</v>
      </c>
      <c r="P30" s="41">
        <f t="shared" si="1"/>
        <v>0</v>
      </c>
      <c r="Q30" s="40">
        <f t="shared" si="2"/>
        <v>0</v>
      </c>
      <c r="R30" s="34" t="str">
        <f t="shared" si="3"/>
        <v>Trong gói</v>
      </c>
      <c r="S30" s="38">
        <v>0</v>
      </c>
      <c r="T30" s="38">
        <v>0</v>
      </c>
      <c r="U30" s="38">
        <v>0</v>
      </c>
      <c r="V30" s="38">
        <v>0</v>
      </c>
    </row>
    <row r="31" spans="1:22" ht="30" customHeight="1" x14ac:dyDescent="0.25">
      <c r="A31" s="34" t="s">
        <v>284</v>
      </c>
      <c r="B31" s="35" t="s">
        <v>269</v>
      </c>
      <c r="C31" s="36" t="s">
        <v>285</v>
      </c>
      <c r="D31" s="37" t="s">
        <v>110</v>
      </c>
      <c r="E31" s="38" t="s">
        <v>155</v>
      </c>
      <c r="F31" s="39">
        <v>3</v>
      </c>
      <c r="G31" s="40">
        <f>INDEX('Thông số'!$B$6:$B$10,MATCH(E31,'Thông số'!$A$6:$A$10,0))*'Thông số'!$B$26</f>
        <v>1400000</v>
      </c>
      <c r="H31" s="40">
        <f t="shared" si="0"/>
        <v>4200000</v>
      </c>
      <c r="I31" s="38">
        <v>0</v>
      </c>
      <c r="J31" s="38">
        <v>0</v>
      </c>
      <c r="K31" s="38">
        <v>0</v>
      </c>
      <c r="L31" s="38">
        <v>1</v>
      </c>
      <c r="M31" s="38">
        <v>1</v>
      </c>
      <c r="N31" s="38">
        <v>0</v>
      </c>
      <c r="O31" s="32">
        <v>0</v>
      </c>
      <c r="P31" s="41">
        <f t="shared" si="1"/>
        <v>0</v>
      </c>
      <c r="Q31" s="40">
        <f t="shared" si="2"/>
        <v>0</v>
      </c>
      <c r="R31" s="34" t="str">
        <f t="shared" si="3"/>
        <v>Trong gói</v>
      </c>
      <c r="S31" s="38">
        <v>0</v>
      </c>
      <c r="T31" s="38">
        <v>0</v>
      </c>
      <c r="U31" s="38">
        <v>0</v>
      </c>
      <c r="V31" s="38">
        <v>0</v>
      </c>
    </row>
    <row r="32" spans="1:22" ht="30" customHeight="1" x14ac:dyDescent="0.25">
      <c r="A32" s="34" t="s">
        <v>286</v>
      </c>
      <c r="B32" s="35" t="s">
        <v>269</v>
      </c>
      <c r="C32" s="36" t="s">
        <v>287</v>
      </c>
      <c r="D32" s="37" t="s">
        <v>288</v>
      </c>
      <c r="E32" s="38" t="s">
        <v>155</v>
      </c>
      <c r="F32" s="39">
        <v>6</v>
      </c>
      <c r="G32" s="40">
        <f>INDEX('Thông số'!$B$6:$B$10,MATCH(E32,'Thông số'!$A$6:$A$10,0))*'Thông số'!$B$26</f>
        <v>1400000</v>
      </c>
      <c r="H32" s="40">
        <f t="shared" si="0"/>
        <v>8400000</v>
      </c>
      <c r="I32" s="38">
        <v>0</v>
      </c>
      <c r="J32" s="38">
        <v>0</v>
      </c>
      <c r="K32" s="38">
        <v>0</v>
      </c>
      <c r="L32" s="38">
        <v>0</v>
      </c>
      <c r="M32" s="38">
        <v>0</v>
      </c>
      <c r="N32" s="38">
        <v>1</v>
      </c>
      <c r="O32" s="32">
        <v>0</v>
      </c>
      <c r="P32" s="41">
        <f t="shared" si="1"/>
        <v>0</v>
      </c>
      <c r="Q32" s="40">
        <f t="shared" si="2"/>
        <v>0</v>
      </c>
      <c r="R32" s="34" t="str">
        <f t="shared" si="3"/>
        <v>Trong gói</v>
      </c>
      <c r="S32" s="38">
        <v>0</v>
      </c>
      <c r="T32" s="38">
        <v>0</v>
      </c>
      <c r="U32" s="38">
        <v>0</v>
      </c>
      <c r="V32" s="38">
        <v>0</v>
      </c>
    </row>
    <row r="33" spans="1:22" ht="30" customHeight="1" x14ac:dyDescent="0.25">
      <c r="A33" s="25" t="s">
        <v>289</v>
      </c>
      <c r="B33" s="26" t="s">
        <v>290</v>
      </c>
      <c r="C33" s="27" t="s">
        <v>291</v>
      </c>
      <c r="D33" s="28" t="s">
        <v>292</v>
      </c>
      <c r="E33" s="29" t="s">
        <v>155</v>
      </c>
      <c r="F33" s="30">
        <v>6</v>
      </c>
      <c r="G33" s="31">
        <f>INDEX('Thông số'!$B$6:$B$10,MATCH(E33,'Thông số'!$A$6:$A$10,0))*'Thông số'!$B$26</f>
        <v>1400000</v>
      </c>
      <c r="H33" s="31">
        <f t="shared" si="0"/>
        <v>8400000</v>
      </c>
      <c r="I33" s="29">
        <v>0</v>
      </c>
      <c r="J33" s="29">
        <v>0</v>
      </c>
      <c r="K33" s="29">
        <v>1</v>
      </c>
      <c r="L33" s="29">
        <v>0</v>
      </c>
      <c r="M33" s="29">
        <v>0</v>
      </c>
      <c r="N33" s="29">
        <v>0</v>
      </c>
      <c r="O33" s="32">
        <v>1</v>
      </c>
      <c r="P33" s="33">
        <f t="shared" si="1"/>
        <v>6</v>
      </c>
      <c r="Q33" s="31">
        <f t="shared" si="2"/>
        <v>8400000</v>
      </c>
      <c r="R33" s="25" t="str">
        <f t="shared" si="3"/>
        <v>Trong gói</v>
      </c>
      <c r="S33" s="29">
        <v>0</v>
      </c>
      <c r="T33" s="29">
        <v>0</v>
      </c>
      <c r="U33" s="29">
        <v>1</v>
      </c>
      <c r="V33" s="29">
        <v>1</v>
      </c>
    </row>
    <row r="34" spans="1:22" ht="30" customHeight="1" x14ac:dyDescent="0.25">
      <c r="A34" s="25" t="s">
        <v>293</v>
      </c>
      <c r="B34" s="26" t="s">
        <v>290</v>
      </c>
      <c r="C34" s="27" t="s">
        <v>294</v>
      </c>
      <c r="D34" s="28" t="s">
        <v>295</v>
      </c>
      <c r="E34" s="29" t="s">
        <v>155</v>
      </c>
      <c r="F34" s="30">
        <v>3</v>
      </c>
      <c r="G34" s="31">
        <f>INDEX('Thông số'!$B$6:$B$10,MATCH(E34,'Thông số'!$A$6:$A$10,0))*'Thông số'!$B$26</f>
        <v>1400000</v>
      </c>
      <c r="H34" s="31">
        <f t="shared" si="0"/>
        <v>4200000</v>
      </c>
      <c r="I34" s="29">
        <v>0</v>
      </c>
      <c r="J34" s="29">
        <v>0</v>
      </c>
      <c r="K34" s="29">
        <v>1</v>
      </c>
      <c r="L34" s="29">
        <v>0</v>
      </c>
      <c r="M34" s="29">
        <v>0</v>
      </c>
      <c r="N34" s="29">
        <v>0</v>
      </c>
      <c r="O34" s="32">
        <v>1</v>
      </c>
      <c r="P34" s="33">
        <f t="shared" si="1"/>
        <v>3</v>
      </c>
      <c r="Q34" s="31">
        <f t="shared" si="2"/>
        <v>4200000</v>
      </c>
      <c r="R34" s="25" t="str">
        <f t="shared" si="3"/>
        <v>Trong gói</v>
      </c>
      <c r="S34" s="29">
        <v>0</v>
      </c>
      <c r="T34" s="29">
        <v>0</v>
      </c>
      <c r="U34" s="29">
        <v>1</v>
      </c>
      <c r="V34" s="29">
        <v>1</v>
      </c>
    </row>
    <row r="35" spans="1:22" ht="30" customHeight="1" x14ac:dyDescent="0.25">
      <c r="A35" s="25" t="s">
        <v>296</v>
      </c>
      <c r="B35" s="26" t="s">
        <v>290</v>
      </c>
      <c r="C35" s="27" t="s">
        <v>297</v>
      </c>
      <c r="D35" s="28" t="s">
        <v>298</v>
      </c>
      <c r="E35" s="29" t="s">
        <v>155</v>
      </c>
      <c r="F35" s="30">
        <v>3</v>
      </c>
      <c r="G35" s="31">
        <f>INDEX('Thông số'!$B$6:$B$10,MATCH(E35,'Thông số'!$A$6:$A$10,0))*'Thông số'!$B$26</f>
        <v>1400000</v>
      </c>
      <c r="H35" s="31">
        <f t="shared" si="0"/>
        <v>4200000</v>
      </c>
      <c r="I35" s="29">
        <v>0</v>
      </c>
      <c r="J35" s="29">
        <v>0</v>
      </c>
      <c r="K35" s="29">
        <v>1</v>
      </c>
      <c r="L35" s="29">
        <v>0</v>
      </c>
      <c r="M35" s="29">
        <v>0</v>
      </c>
      <c r="N35" s="29">
        <v>0</v>
      </c>
      <c r="O35" s="32">
        <v>1</v>
      </c>
      <c r="P35" s="33">
        <f t="shared" si="1"/>
        <v>3</v>
      </c>
      <c r="Q35" s="31">
        <f t="shared" si="2"/>
        <v>4200000</v>
      </c>
      <c r="R35" s="25" t="str">
        <f t="shared" si="3"/>
        <v>Trong gói</v>
      </c>
      <c r="S35" s="29">
        <v>0</v>
      </c>
      <c r="T35" s="29">
        <v>0</v>
      </c>
      <c r="U35" s="29">
        <v>1</v>
      </c>
      <c r="V35" s="29">
        <v>1</v>
      </c>
    </row>
    <row r="36" spans="1:22" ht="30" customHeight="1" x14ac:dyDescent="0.25">
      <c r="A36" s="25" t="s">
        <v>299</v>
      </c>
      <c r="B36" s="26" t="s">
        <v>290</v>
      </c>
      <c r="C36" s="27" t="s">
        <v>300</v>
      </c>
      <c r="D36" s="28" t="s">
        <v>301</v>
      </c>
      <c r="E36" s="29" t="s">
        <v>155</v>
      </c>
      <c r="F36" s="30">
        <v>3</v>
      </c>
      <c r="G36" s="31">
        <f>INDEX('Thông số'!$B$6:$B$10,MATCH(E36,'Thông số'!$A$6:$A$10,0))*'Thông số'!$B$26</f>
        <v>1400000</v>
      </c>
      <c r="H36" s="31">
        <f t="shared" si="0"/>
        <v>4200000</v>
      </c>
      <c r="I36" s="29">
        <v>0</v>
      </c>
      <c r="J36" s="29">
        <v>0</v>
      </c>
      <c r="K36" s="29">
        <v>1</v>
      </c>
      <c r="L36" s="29">
        <v>0</v>
      </c>
      <c r="M36" s="29">
        <v>0</v>
      </c>
      <c r="N36" s="29">
        <v>0</v>
      </c>
      <c r="O36" s="32">
        <v>1</v>
      </c>
      <c r="P36" s="33">
        <f t="shared" si="1"/>
        <v>3</v>
      </c>
      <c r="Q36" s="31">
        <f t="shared" si="2"/>
        <v>4200000</v>
      </c>
      <c r="R36" s="25" t="str">
        <f t="shared" si="3"/>
        <v>Trong gói</v>
      </c>
      <c r="S36" s="29">
        <v>0</v>
      </c>
      <c r="T36" s="29">
        <v>0</v>
      </c>
      <c r="U36" s="29">
        <v>1</v>
      </c>
      <c r="V36" s="29">
        <v>1</v>
      </c>
    </row>
    <row r="37" spans="1:22" ht="30" customHeight="1" x14ac:dyDescent="0.25">
      <c r="A37" s="34" t="s">
        <v>302</v>
      </c>
      <c r="B37" s="35" t="s">
        <v>303</v>
      </c>
      <c r="C37" s="36" t="s">
        <v>304</v>
      </c>
      <c r="D37" s="37" t="s">
        <v>305</v>
      </c>
      <c r="E37" s="38" t="s">
        <v>155</v>
      </c>
      <c r="F37" s="39">
        <v>6</v>
      </c>
      <c r="G37" s="40">
        <f>INDEX('Thông số'!$B$6:$B$10,MATCH(E37,'Thông số'!$A$6:$A$10,0))*'Thông số'!$B$26</f>
        <v>1400000</v>
      </c>
      <c r="H37" s="40">
        <f t="shared" si="0"/>
        <v>8400000</v>
      </c>
      <c r="I37" s="38">
        <v>0</v>
      </c>
      <c r="J37" s="38">
        <v>0</v>
      </c>
      <c r="K37" s="38">
        <v>0</v>
      </c>
      <c r="L37" s="38">
        <v>1</v>
      </c>
      <c r="M37" s="38">
        <v>0</v>
      </c>
      <c r="N37" s="38">
        <v>0</v>
      </c>
      <c r="O37" s="32">
        <v>0</v>
      </c>
      <c r="P37" s="41">
        <f t="shared" si="1"/>
        <v>0</v>
      </c>
      <c r="Q37" s="40">
        <f t="shared" si="2"/>
        <v>0</v>
      </c>
      <c r="R37" s="34" t="str">
        <f t="shared" si="3"/>
        <v>Trong gói</v>
      </c>
      <c r="S37" s="38">
        <v>0</v>
      </c>
      <c r="T37" s="38">
        <v>0</v>
      </c>
      <c r="U37" s="38">
        <v>0</v>
      </c>
      <c r="V37" s="38">
        <v>0</v>
      </c>
    </row>
    <row r="38" spans="1:22" ht="30" customHeight="1" x14ac:dyDescent="0.25">
      <c r="A38" s="34" t="s">
        <v>306</v>
      </c>
      <c r="B38" s="35" t="s">
        <v>303</v>
      </c>
      <c r="C38" s="36" t="s">
        <v>307</v>
      </c>
      <c r="D38" s="37" t="s">
        <v>308</v>
      </c>
      <c r="E38" s="38" t="s">
        <v>155</v>
      </c>
      <c r="F38" s="39">
        <v>6</v>
      </c>
      <c r="G38" s="40">
        <f>INDEX('Thông số'!$B$6:$B$10,MATCH(E38,'Thông số'!$A$6:$A$10,0))*'Thông số'!$B$26</f>
        <v>1400000</v>
      </c>
      <c r="H38" s="40">
        <f t="shared" ref="H38:H69" si="4">F38*G38</f>
        <v>8400000</v>
      </c>
      <c r="I38" s="38">
        <v>0</v>
      </c>
      <c r="J38" s="38">
        <v>0</v>
      </c>
      <c r="K38" s="38">
        <v>0</v>
      </c>
      <c r="L38" s="38">
        <v>1</v>
      </c>
      <c r="M38" s="38">
        <v>0</v>
      </c>
      <c r="N38" s="38">
        <v>0</v>
      </c>
      <c r="O38" s="32">
        <v>0</v>
      </c>
      <c r="P38" s="41">
        <f t="shared" ref="P38:P69" si="5">F38*O38</f>
        <v>0</v>
      </c>
      <c r="Q38" s="40">
        <f t="shared" ref="Q38:Q69" si="6">H38*O38</f>
        <v>0</v>
      </c>
      <c r="R38" s="34" t="str">
        <f t="shared" ref="R38:R69" si="7">IF(SUM(I38:N38)=0,"Tùy chọn","Trong gói")</f>
        <v>Trong gói</v>
      </c>
      <c r="S38" s="38">
        <v>0</v>
      </c>
      <c r="T38" s="38">
        <v>0</v>
      </c>
      <c r="U38" s="38">
        <v>0</v>
      </c>
      <c r="V38" s="38">
        <v>0</v>
      </c>
    </row>
    <row r="39" spans="1:22" ht="30" customHeight="1" x14ac:dyDescent="0.25">
      <c r="A39" s="34" t="s">
        <v>309</v>
      </c>
      <c r="B39" s="35" t="s">
        <v>303</v>
      </c>
      <c r="C39" s="36" t="s">
        <v>310</v>
      </c>
      <c r="D39" s="37" t="s">
        <v>311</v>
      </c>
      <c r="E39" s="38" t="s">
        <v>155</v>
      </c>
      <c r="F39" s="39">
        <v>4</v>
      </c>
      <c r="G39" s="40">
        <f>INDEX('Thông số'!$B$6:$B$10,MATCH(E39,'Thông số'!$A$6:$A$10,0))*'Thông số'!$B$26</f>
        <v>1400000</v>
      </c>
      <c r="H39" s="40">
        <f t="shared" si="4"/>
        <v>5600000</v>
      </c>
      <c r="I39" s="38">
        <v>0</v>
      </c>
      <c r="J39" s="38">
        <v>0</v>
      </c>
      <c r="K39" s="38">
        <v>0</v>
      </c>
      <c r="L39" s="38">
        <v>1</v>
      </c>
      <c r="M39" s="38">
        <v>0</v>
      </c>
      <c r="N39" s="38">
        <v>0</v>
      </c>
      <c r="O39" s="32">
        <v>0</v>
      </c>
      <c r="P39" s="41">
        <f t="shared" si="5"/>
        <v>0</v>
      </c>
      <c r="Q39" s="40">
        <f t="shared" si="6"/>
        <v>0</v>
      </c>
      <c r="R39" s="34" t="str">
        <f t="shared" si="7"/>
        <v>Trong gói</v>
      </c>
      <c r="S39" s="38">
        <v>0</v>
      </c>
      <c r="T39" s="38">
        <v>0</v>
      </c>
      <c r="U39" s="38">
        <v>0</v>
      </c>
      <c r="V39" s="38">
        <v>0</v>
      </c>
    </row>
    <row r="40" spans="1:22" ht="30" customHeight="1" x14ac:dyDescent="0.25">
      <c r="A40" s="34" t="s">
        <v>312</v>
      </c>
      <c r="B40" s="35" t="s">
        <v>303</v>
      </c>
      <c r="C40" s="36" t="s">
        <v>313</v>
      </c>
      <c r="D40" s="37" t="s">
        <v>314</v>
      </c>
      <c r="E40" s="38" t="s">
        <v>155</v>
      </c>
      <c r="F40" s="39">
        <v>5</v>
      </c>
      <c r="G40" s="40">
        <f>INDEX('Thông số'!$B$6:$B$10,MATCH(E40,'Thông số'!$A$6:$A$10,0))*'Thông số'!$B$26</f>
        <v>1400000</v>
      </c>
      <c r="H40" s="40">
        <f t="shared" si="4"/>
        <v>7000000</v>
      </c>
      <c r="I40" s="38">
        <v>0</v>
      </c>
      <c r="J40" s="38">
        <v>0</v>
      </c>
      <c r="K40" s="38">
        <v>0</v>
      </c>
      <c r="L40" s="38">
        <v>1</v>
      </c>
      <c r="M40" s="38">
        <v>0</v>
      </c>
      <c r="N40" s="38">
        <v>0</v>
      </c>
      <c r="O40" s="32">
        <v>0</v>
      </c>
      <c r="P40" s="41">
        <f t="shared" si="5"/>
        <v>0</v>
      </c>
      <c r="Q40" s="40">
        <f t="shared" si="6"/>
        <v>0</v>
      </c>
      <c r="R40" s="34" t="str">
        <f t="shared" si="7"/>
        <v>Trong gói</v>
      </c>
      <c r="S40" s="38">
        <v>0</v>
      </c>
      <c r="T40" s="38">
        <v>0</v>
      </c>
      <c r="U40" s="38">
        <v>0</v>
      </c>
      <c r="V40" s="38">
        <v>0</v>
      </c>
    </row>
    <row r="41" spans="1:22" ht="30" customHeight="1" x14ac:dyDescent="0.25">
      <c r="A41" s="34" t="s">
        <v>315</v>
      </c>
      <c r="B41" s="35" t="s">
        <v>303</v>
      </c>
      <c r="C41" s="36" t="s">
        <v>316</v>
      </c>
      <c r="D41" s="37" t="s">
        <v>317</v>
      </c>
      <c r="E41" s="38" t="s">
        <v>155</v>
      </c>
      <c r="F41" s="39">
        <v>4</v>
      </c>
      <c r="G41" s="40">
        <f>INDEX('Thông số'!$B$6:$B$10,MATCH(E41,'Thông số'!$A$6:$A$10,0))*'Thông số'!$B$26</f>
        <v>1400000</v>
      </c>
      <c r="H41" s="40">
        <f t="shared" si="4"/>
        <v>5600000</v>
      </c>
      <c r="I41" s="38">
        <v>0</v>
      </c>
      <c r="J41" s="38">
        <v>0</v>
      </c>
      <c r="K41" s="38">
        <v>0</v>
      </c>
      <c r="L41" s="38">
        <v>1</v>
      </c>
      <c r="M41" s="38">
        <v>0</v>
      </c>
      <c r="N41" s="38">
        <v>0</v>
      </c>
      <c r="O41" s="32">
        <v>0</v>
      </c>
      <c r="P41" s="41">
        <f t="shared" si="5"/>
        <v>0</v>
      </c>
      <c r="Q41" s="40">
        <f t="shared" si="6"/>
        <v>0</v>
      </c>
      <c r="R41" s="34" t="str">
        <f t="shared" si="7"/>
        <v>Trong gói</v>
      </c>
      <c r="S41" s="38">
        <v>0</v>
      </c>
      <c r="T41" s="38">
        <v>0</v>
      </c>
      <c r="U41" s="38">
        <v>0</v>
      </c>
      <c r="V41" s="38">
        <v>0</v>
      </c>
    </row>
    <row r="42" spans="1:22" ht="30" customHeight="1" x14ac:dyDescent="0.25">
      <c r="A42" s="34" t="s">
        <v>318</v>
      </c>
      <c r="B42" s="35" t="s">
        <v>303</v>
      </c>
      <c r="C42" s="36" t="s">
        <v>319</v>
      </c>
      <c r="D42" s="37" t="s">
        <v>320</v>
      </c>
      <c r="E42" s="38" t="s">
        <v>155</v>
      </c>
      <c r="F42" s="39">
        <v>4</v>
      </c>
      <c r="G42" s="40">
        <f>INDEX('Thông số'!$B$6:$B$10,MATCH(E42,'Thông số'!$A$6:$A$10,0))*'Thông số'!$B$26</f>
        <v>1400000</v>
      </c>
      <c r="H42" s="40">
        <f t="shared" si="4"/>
        <v>5600000</v>
      </c>
      <c r="I42" s="38">
        <v>0</v>
      </c>
      <c r="J42" s="38">
        <v>0</v>
      </c>
      <c r="K42" s="38">
        <v>0</v>
      </c>
      <c r="L42" s="38">
        <v>0</v>
      </c>
      <c r="M42" s="38">
        <v>0</v>
      </c>
      <c r="N42" s="38">
        <v>0</v>
      </c>
      <c r="O42" s="32">
        <v>0</v>
      </c>
      <c r="P42" s="41">
        <f t="shared" si="5"/>
        <v>0</v>
      </c>
      <c r="Q42" s="40">
        <f t="shared" si="6"/>
        <v>0</v>
      </c>
      <c r="R42" s="34" t="str">
        <f t="shared" si="7"/>
        <v>Tùy chọn</v>
      </c>
      <c r="S42" s="38">
        <v>0</v>
      </c>
      <c r="T42" s="38">
        <v>0</v>
      </c>
      <c r="U42" s="38">
        <v>0</v>
      </c>
      <c r="V42" s="38">
        <v>0</v>
      </c>
    </row>
    <row r="43" spans="1:22" ht="30" customHeight="1" x14ac:dyDescent="0.25">
      <c r="A43" s="25" t="s">
        <v>321</v>
      </c>
      <c r="B43" s="26" t="s">
        <v>322</v>
      </c>
      <c r="C43" s="27" t="s">
        <v>323</v>
      </c>
      <c r="D43" s="28" t="s">
        <v>324</v>
      </c>
      <c r="E43" s="29" t="s">
        <v>155</v>
      </c>
      <c r="F43" s="30">
        <v>5</v>
      </c>
      <c r="G43" s="31">
        <f>INDEX('Thông số'!$B$6:$B$10,MATCH(E43,'Thông số'!$A$6:$A$10,0))*'Thông số'!$B$26</f>
        <v>1400000</v>
      </c>
      <c r="H43" s="31">
        <f t="shared" si="4"/>
        <v>7000000</v>
      </c>
      <c r="I43" s="29">
        <v>0</v>
      </c>
      <c r="J43" s="29">
        <v>0</v>
      </c>
      <c r="K43" s="29">
        <v>0</v>
      </c>
      <c r="L43" s="29">
        <v>0</v>
      </c>
      <c r="M43" s="29">
        <v>1</v>
      </c>
      <c r="N43" s="29">
        <v>0</v>
      </c>
      <c r="O43" s="32">
        <v>0</v>
      </c>
      <c r="P43" s="33">
        <f t="shared" si="5"/>
        <v>0</v>
      </c>
      <c r="Q43" s="31">
        <f t="shared" si="6"/>
        <v>0</v>
      </c>
      <c r="R43" s="25" t="str">
        <f t="shared" si="7"/>
        <v>Trong gói</v>
      </c>
      <c r="S43" s="29">
        <v>0</v>
      </c>
      <c r="T43" s="29">
        <v>0</v>
      </c>
      <c r="U43" s="29">
        <v>0</v>
      </c>
      <c r="V43" s="29">
        <v>0</v>
      </c>
    </row>
    <row r="44" spans="1:22" ht="30" customHeight="1" x14ac:dyDescent="0.25">
      <c r="A44" s="25" t="s">
        <v>325</v>
      </c>
      <c r="B44" s="26" t="s">
        <v>322</v>
      </c>
      <c r="C44" s="27" t="s">
        <v>326</v>
      </c>
      <c r="D44" s="28" t="s">
        <v>327</v>
      </c>
      <c r="E44" s="29" t="s">
        <v>155</v>
      </c>
      <c r="F44" s="30">
        <v>4</v>
      </c>
      <c r="G44" s="31">
        <f>INDEX('Thông số'!$B$6:$B$10,MATCH(E44,'Thông số'!$A$6:$A$10,0))*'Thông số'!$B$26</f>
        <v>1400000</v>
      </c>
      <c r="H44" s="31">
        <f t="shared" si="4"/>
        <v>5600000</v>
      </c>
      <c r="I44" s="29">
        <v>0</v>
      </c>
      <c r="J44" s="29">
        <v>0</v>
      </c>
      <c r="K44" s="29">
        <v>0</v>
      </c>
      <c r="L44" s="29">
        <v>0</v>
      </c>
      <c r="M44" s="29">
        <v>1</v>
      </c>
      <c r="N44" s="29">
        <v>0</v>
      </c>
      <c r="O44" s="32">
        <v>0</v>
      </c>
      <c r="P44" s="33">
        <f t="shared" si="5"/>
        <v>0</v>
      </c>
      <c r="Q44" s="31">
        <f t="shared" si="6"/>
        <v>0</v>
      </c>
      <c r="R44" s="25" t="str">
        <f t="shared" si="7"/>
        <v>Trong gói</v>
      </c>
      <c r="S44" s="29">
        <v>0</v>
      </c>
      <c r="T44" s="29">
        <v>0</v>
      </c>
      <c r="U44" s="29">
        <v>0</v>
      </c>
      <c r="V44" s="29">
        <v>0</v>
      </c>
    </row>
    <row r="45" spans="1:22" ht="30" customHeight="1" x14ac:dyDescent="0.25">
      <c r="A45" s="25" t="s">
        <v>328</v>
      </c>
      <c r="B45" s="26" t="s">
        <v>322</v>
      </c>
      <c r="C45" s="27" t="s">
        <v>329</v>
      </c>
      <c r="D45" s="28" t="s">
        <v>330</v>
      </c>
      <c r="E45" s="29" t="s">
        <v>155</v>
      </c>
      <c r="F45" s="30">
        <v>6</v>
      </c>
      <c r="G45" s="31">
        <f>INDEX('Thông số'!$B$6:$B$10,MATCH(E45,'Thông số'!$A$6:$A$10,0))*'Thông số'!$B$26</f>
        <v>1400000</v>
      </c>
      <c r="H45" s="31">
        <f t="shared" si="4"/>
        <v>8400000</v>
      </c>
      <c r="I45" s="29">
        <v>0</v>
      </c>
      <c r="J45" s="29">
        <v>0</v>
      </c>
      <c r="K45" s="29">
        <v>0</v>
      </c>
      <c r="L45" s="29">
        <v>0</v>
      </c>
      <c r="M45" s="29">
        <v>1</v>
      </c>
      <c r="N45" s="29">
        <v>0</v>
      </c>
      <c r="O45" s="32">
        <v>0</v>
      </c>
      <c r="P45" s="33">
        <f t="shared" si="5"/>
        <v>0</v>
      </c>
      <c r="Q45" s="31">
        <f t="shared" si="6"/>
        <v>0</v>
      </c>
      <c r="R45" s="25" t="str">
        <f t="shared" si="7"/>
        <v>Trong gói</v>
      </c>
      <c r="S45" s="29">
        <v>0</v>
      </c>
      <c r="T45" s="29">
        <v>0</v>
      </c>
      <c r="U45" s="29">
        <v>0</v>
      </c>
      <c r="V45" s="29">
        <v>0</v>
      </c>
    </row>
    <row r="46" spans="1:22" ht="30" customHeight="1" x14ac:dyDescent="0.25">
      <c r="A46" s="25" t="s">
        <v>331</v>
      </c>
      <c r="B46" s="26" t="s">
        <v>322</v>
      </c>
      <c r="C46" s="27" t="s">
        <v>332</v>
      </c>
      <c r="D46" s="28" t="s">
        <v>333</v>
      </c>
      <c r="E46" s="29" t="s">
        <v>155</v>
      </c>
      <c r="F46" s="30">
        <v>5</v>
      </c>
      <c r="G46" s="31">
        <f>INDEX('Thông số'!$B$6:$B$10,MATCH(E46,'Thông số'!$A$6:$A$10,0))*'Thông số'!$B$26</f>
        <v>1400000</v>
      </c>
      <c r="H46" s="31">
        <f t="shared" si="4"/>
        <v>7000000</v>
      </c>
      <c r="I46" s="29">
        <v>0</v>
      </c>
      <c r="J46" s="29">
        <v>0</v>
      </c>
      <c r="K46" s="29">
        <v>0</v>
      </c>
      <c r="L46" s="29">
        <v>0</v>
      </c>
      <c r="M46" s="29">
        <v>1</v>
      </c>
      <c r="N46" s="29">
        <v>0</v>
      </c>
      <c r="O46" s="32">
        <v>0</v>
      </c>
      <c r="P46" s="33">
        <f t="shared" si="5"/>
        <v>0</v>
      </c>
      <c r="Q46" s="31">
        <f t="shared" si="6"/>
        <v>0</v>
      </c>
      <c r="R46" s="25" t="str">
        <f t="shared" si="7"/>
        <v>Trong gói</v>
      </c>
      <c r="S46" s="29">
        <v>0</v>
      </c>
      <c r="T46" s="29">
        <v>0</v>
      </c>
      <c r="U46" s="29">
        <v>0</v>
      </c>
      <c r="V46" s="29">
        <v>0</v>
      </c>
    </row>
    <row r="47" spans="1:22" ht="30" customHeight="1" x14ac:dyDescent="0.25">
      <c r="A47" s="25" t="s">
        <v>334</v>
      </c>
      <c r="B47" s="26" t="s">
        <v>322</v>
      </c>
      <c r="C47" s="27" t="s">
        <v>335</v>
      </c>
      <c r="D47" s="28" t="s">
        <v>336</v>
      </c>
      <c r="E47" s="29" t="s">
        <v>155</v>
      </c>
      <c r="F47" s="30">
        <v>6</v>
      </c>
      <c r="G47" s="31">
        <f>INDEX('Thông số'!$B$6:$B$10,MATCH(E47,'Thông số'!$A$6:$A$10,0))*'Thông số'!$B$26</f>
        <v>1400000</v>
      </c>
      <c r="H47" s="31">
        <f t="shared" si="4"/>
        <v>8400000</v>
      </c>
      <c r="I47" s="29">
        <v>0</v>
      </c>
      <c r="J47" s="29">
        <v>0</v>
      </c>
      <c r="K47" s="29">
        <v>0</v>
      </c>
      <c r="L47" s="29">
        <v>0</v>
      </c>
      <c r="M47" s="29">
        <v>1</v>
      </c>
      <c r="N47" s="29">
        <v>0</v>
      </c>
      <c r="O47" s="32">
        <v>0</v>
      </c>
      <c r="P47" s="33">
        <f t="shared" si="5"/>
        <v>0</v>
      </c>
      <c r="Q47" s="31">
        <f t="shared" si="6"/>
        <v>0</v>
      </c>
      <c r="R47" s="25" t="str">
        <f t="shared" si="7"/>
        <v>Trong gói</v>
      </c>
      <c r="S47" s="29">
        <v>0</v>
      </c>
      <c r="T47" s="29">
        <v>0</v>
      </c>
      <c r="U47" s="29">
        <v>0</v>
      </c>
      <c r="V47" s="29">
        <v>0</v>
      </c>
    </row>
    <row r="48" spans="1:22" ht="30" customHeight="1" x14ac:dyDescent="0.25">
      <c r="A48" s="25" t="s">
        <v>337</v>
      </c>
      <c r="B48" s="26" t="s">
        <v>322</v>
      </c>
      <c r="C48" s="27" t="s">
        <v>338</v>
      </c>
      <c r="D48" s="28" t="s">
        <v>339</v>
      </c>
      <c r="E48" s="29" t="s">
        <v>155</v>
      </c>
      <c r="F48" s="30">
        <v>6</v>
      </c>
      <c r="G48" s="31">
        <f>INDEX('Thông số'!$B$6:$B$10,MATCH(E48,'Thông số'!$A$6:$A$10,0))*'Thông số'!$B$26</f>
        <v>1400000</v>
      </c>
      <c r="H48" s="31">
        <f t="shared" si="4"/>
        <v>8400000</v>
      </c>
      <c r="I48" s="29">
        <v>0</v>
      </c>
      <c r="J48" s="29">
        <v>0</v>
      </c>
      <c r="K48" s="29">
        <v>0</v>
      </c>
      <c r="L48" s="29">
        <v>0</v>
      </c>
      <c r="M48" s="29">
        <v>1</v>
      </c>
      <c r="N48" s="29">
        <v>0</v>
      </c>
      <c r="O48" s="32">
        <v>0</v>
      </c>
      <c r="P48" s="33">
        <f t="shared" si="5"/>
        <v>0</v>
      </c>
      <c r="Q48" s="31">
        <f t="shared" si="6"/>
        <v>0</v>
      </c>
      <c r="R48" s="25" t="str">
        <f t="shared" si="7"/>
        <v>Trong gói</v>
      </c>
      <c r="S48" s="29">
        <v>0</v>
      </c>
      <c r="T48" s="29">
        <v>0</v>
      </c>
      <c r="U48" s="29">
        <v>0</v>
      </c>
      <c r="V48" s="29">
        <v>0</v>
      </c>
    </row>
    <row r="49" spans="1:22" ht="30" customHeight="1" x14ac:dyDescent="0.25">
      <c r="A49" s="25" t="s">
        <v>340</v>
      </c>
      <c r="B49" s="26" t="s">
        <v>322</v>
      </c>
      <c r="C49" s="27" t="s">
        <v>341</v>
      </c>
      <c r="D49" s="28" t="s">
        <v>342</v>
      </c>
      <c r="E49" s="29" t="s">
        <v>155</v>
      </c>
      <c r="F49" s="30">
        <v>4</v>
      </c>
      <c r="G49" s="31">
        <f>INDEX('Thông số'!$B$6:$B$10,MATCH(E49,'Thông số'!$A$6:$A$10,0))*'Thông số'!$B$26</f>
        <v>1400000</v>
      </c>
      <c r="H49" s="31">
        <f t="shared" si="4"/>
        <v>5600000</v>
      </c>
      <c r="I49" s="29">
        <v>0</v>
      </c>
      <c r="J49" s="29">
        <v>0</v>
      </c>
      <c r="K49" s="29">
        <v>0</v>
      </c>
      <c r="L49" s="29">
        <v>0</v>
      </c>
      <c r="M49" s="29">
        <v>1</v>
      </c>
      <c r="N49" s="29">
        <v>0</v>
      </c>
      <c r="O49" s="32">
        <v>0</v>
      </c>
      <c r="P49" s="33">
        <f t="shared" si="5"/>
        <v>0</v>
      </c>
      <c r="Q49" s="31">
        <f t="shared" si="6"/>
        <v>0</v>
      </c>
      <c r="R49" s="25" t="str">
        <f t="shared" si="7"/>
        <v>Trong gói</v>
      </c>
      <c r="S49" s="29">
        <v>0</v>
      </c>
      <c r="T49" s="29">
        <v>0</v>
      </c>
      <c r="U49" s="29">
        <v>0</v>
      </c>
      <c r="V49" s="29">
        <v>0</v>
      </c>
    </row>
    <row r="50" spans="1:22" ht="30" customHeight="1" x14ac:dyDescent="0.25">
      <c r="A50" s="25" t="s">
        <v>343</v>
      </c>
      <c r="B50" s="26" t="s">
        <v>322</v>
      </c>
      <c r="C50" s="27" t="s">
        <v>344</v>
      </c>
      <c r="D50" s="28" t="s">
        <v>345</v>
      </c>
      <c r="E50" s="29" t="s">
        <v>155</v>
      </c>
      <c r="F50" s="30">
        <v>3</v>
      </c>
      <c r="G50" s="31">
        <f>INDEX('Thông số'!$B$6:$B$10,MATCH(E50,'Thông số'!$A$6:$A$10,0))*'Thông số'!$B$26</f>
        <v>1400000</v>
      </c>
      <c r="H50" s="31">
        <f t="shared" si="4"/>
        <v>4200000</v>
      </c>
      <c r="I50" s="29">
        <v>0</v>
      </c>
      <c r="J50" s="29">
        <v>0</v>
      </c>
      <c r="K50" s="29">
        <v>0</v>
      </c>
      <c r="L50" s="29">
        <v>0</v>
      </c>
      <c r="M50" s="29">
        <v>1</v>
      </c>
      <c r="N50" s="29">
        <v>0</v>
      </c>
      <c r="O50" s="32">
        <v>0</v>
      </c>
      <c r="P50" s="33">
        <f t="shared" si="5"/>
        <v>0</v>
      </c>
      <c r="Q50" s="31">
        <f t="shared" si="6"/>
        <v>0</v>
      </c>
      <c r="R50" s="25" t="str">
        <f t="shared" si="7"/>
        <v>Trong gói</v>
      </c>
      <c r="S50" s="29">
        <v>0</v>
      </c>
      <c r="T50" s="29">
        <v>0</v>
      </c>
      <c r="U50" s="29">
        <v>0</v>
      </c>
      <c r="V50" s="29">
        <v>0</v>
      </c>
    </row>
    <row r="51" spans="1:22" ht="30" customHeight="1" x14ac:dyDescent="0.25">
      <c r="A51" s="34" t="s">
        <v>346</v>
      </c>
      <c r="B51" s="35" t="s">
        <v>347</v>
      </c>
      <c r="C51" s="36" t="s">
        <v>348</v>
      </c>
      <c r="D51" s="37" t="s">
        <v>349</v>
      </c>
      <c r="E51" s="38" t="s">
        <v>155</v>
      </c>
      <c r="F51" s="39">
        <v>3</v>
      </c>
      <c r="G51" s="40">
        <f>INDEX('Thông số'!$B$6:$B$10,MATCH(E51,'Thông số'!$A$6:$A$10,0))*'Thông số'!$B$26</f>
        <v>1400000</v>
      </c>
      <c r="H51" s="40">
        <f t="shared" si="4"/>
        <v>4200000</v>
      </c>
      <c r="I51" s="38">
        <v>0</v>
      </c>
      <c r="J51" s="38">
        <v>0</v>
      </c>
      <c r="K51" s="38">
        <v>0</v>
      </c>
      <c r="L51" s="38">
        <v>0</v>
      </c>
      <c r="M51" s="38">
        <v>0</v>
      </c>
      <c r="N51" s="38">
        <v>1</v>
      </c>
      <c r="O51" s="32">
        <v>0</v>
      </c>
      <c r="P51" s="41">
        <f t="shared" si="5"/>
        <v>0</v>
      </c>
      <c r="Q51" s="40">
        <f t="shared" si="6"/>
        <v>0</v>
      </c>
      <c r="R51" s="34" t="str">
        <f t="shared" si="7"/>
        <v>Trong gói</v>
      </c>
      <c r="S51" s="38">
        <v>0</v>
      </c>
      <c r="T51" s="38">
        <v>0</v>
      </c>
      <c r="U51" s="38">
        <v>0</v>
      </c>
      <c r="V51" s="38">
        <v>0</v>
      </c>
    </row>
    <row r="52" spans="1:22" ht="30" customHeight="1" x14ac:dyDescent="0.25">
      <c r="A52" s="34" t="s">
        <v>350</v>
      </c>
      <c r="B52" s="35" t="s">
        <v>347</v>
      </c>
      <c r="C52" s="36" t="s">
        <v>351</v>
      </c>
      <c r="D52" s="37" t="s">
        <v>352</v>
      </c>
      <c r="E52" s="38" t="s">
        <v>155</v>
      </c>
      <c r="F52" s="39">
        <v>8</v>
      </c>
      <c r="G52" s="40">
        <f>INDEX('Thông số'!$B$6:$B$10,MATCH(E52,'Thông số'!$A$6:$A$10,0))*'Thông số'!$B$26</f>
        <v>1400000</v>
      </c>
      <c r="H52" s="40">
        <f t="shared" si="4"/>
        <v>11200000</v>
      </c>
      <c r="I52" s="38">
        <v>0</v>
      </c>
      <c r="J52" s="38">
        <v>0</v>
      </c>
      <c r="K52" s="38">
        <v>0</v>
      </c>
      <c r="L52" s="38">
        <v>0</v>
      </c>
      <c r="M52" s="38">
        <v>0</v>
      </c>
      <c r="N52" s="38">
        <v>1</v>
      </c>
      <c r="O52" s="32">
        <v>0</v>
      </c>
      <c r="P52" s="41">
        <f t="shared" si="5"/>
        <v>0</v>
      </c>
      <c r="Q52" s="40">
        <f t="shared" si="6"/>
        <v>0</v>
      </c>
      <c r="R52" s="34" t="str">
        <f t="shared" si="7"/>
        <v>Trong gói</v>
      </c>
      <c r="S52" s="38">
        <v>0</v>
      </c>
      <c r="T52" s="38">
        <v>0</v>
      </c>
      <c r="U52" s="38">
        <v>0</v>
      </c>
      <c r="V52" s="38">
        <v>0</v>
      </c>
    </row>
    <row r="53" spans="1:22" ht="30" customHeight="1" x14ac:dyDescent="0.25">
      <c r="A53" s="34" t="s">
        <v>353</v>
      </c>
      <c r="B53" s="35" t="s">
        <v>347</v>
      </c>
      <c r="C53" s="36" t="s">
        <v>354</v>
      </c>
      <c r="D53" s="37" t="s">
        <v>355</v>
      </c>
      <c r="E53" s="38" t="s">
        <v>155</v>
      </c>
      <c r="F53" s="39">
        <v>3</v>
      </c>
      <c r="G53" s="40">
        <f>INDEX('Thông số'!$B$6:$B$10,MATCH(E53,'Thông số'!$A$6:$A$10,0))*'Thông số'!$B$26</f>
        <v>1400000</v>
      </c>
      <c r="H53" s="40">
        <f t="shared" si="4"/>
        <v>4200000</v>
      </c>
      <c r="I53" s="38">
        <v>0</v>
      </c>
      <c r="J53" s="38">
        <v>0</v>
      </c>
      <c r="K53" s="38">
        <v>0</v>
      </c>
      <c r="L53" s="38">
        <v>0</v>
      </c>
      <c r="M53" s="38">
        <v>0</v>
      </c>
      <c r="N53" s="38">
        <v>0</v>
      </c>
      <c r="O53" s="32">
        <v>0</v>
      </c>
      <c r="P53" s="41">
        <f t="shared" si="5"/>
        <v>0</v>
      </c>
      <c r="Q53" s="40">
        <f t="shared" si="6"/>
        <v>0</v>
      </c>
      <c r="R53" s="34" t="str">
        <f t="shared" si="7"/>
        <v>Tùy chọn</v>
      </c>
      <c r="S53" s="38">
        <v>0</v>
      </c>
      <c r="T53" s="38">
        <v>0</v>
      </c>
      <c r="U53" s="38">
        <v>0</v>
      </c>
      <c r="V53" s="38">
        <v>0</v>
      </c>
    </row>
    <row r="54" spans="1:22" ht="30" customHeight="1" x14ac:dyDescent="0.25">
      <c r="A54" s="34" t="s">
        <v>356</v>
      </c>
      <c r="B54" s="35" t="s">
        <v>347</v>
      </c>
      <c r="C54" s="36" t="s">
        <v>357</v>
      </c>
      <c r="D54" s="37" t="s">
        <v>358</v>
      </c>
      <c r="E54" s="38" t="s">
        <v>155</v>
      </c>
      <c r="F54" s="39">
        <v>5</v>
      </c>
      <c r="G54" s="40">
        <f>INDEX('Thông số'!$B$6:$B$10,MATCH(E54,'Thông số'!$A$6:$A$10,0))*'Thông số'!$B$26</f>
        <v>1400000</v>
      </c>
      <c r="H54" s="40">
        <f t="shared" si="4"/>
        <v>7000000</v>
      </c>
      <c r="I54" s="38">
        <v>0</v>
      </c>
      <c r="J54" s="38">
        <v>0</v>
      </c>
      <c r="K54" s="38">
        <v>0</v>
      </c>
      <c r="L54" s="38">
        <v>0</v>
      </c>
      <c r="M54" s="38">
        <v>0</v>
      </c>
      <c r="N54" s="38">
        <v>0</v>
      </c>
      <c r="O54" s="32">
        <v>0</v>
      </c>
      <c r="P54" s="41">
        <f t="shared" si="5"/>
        <v>0</v>
      </c>
      <c r="Q54" s="40">
        <f t="shared" si="6"/>
        <v>0</v>
      </c>
      <c r="R54" s="34" t="str">
        <f t="shared" si="7"/>
        <v>Tùy chọn</v>
      </c>
      <c r="S54" s="38">
        <v>0</v>
      </c>
      <c r="T54" s="38">
        <v>0</v>
      </c>
      <c r="U54" s="38">
        <v>0</v>
      </c>
      <c r="V54" s="38">
        <v>0</v>
      </c>
    </row>
    <row r="55" spans="1:22" ht="30" customHeight="1" x14ac:dyDescent="0.25">
      <c r="A55" s="34" t="s">
        <v>359</v>
      </c>
      <c r="B55" s="35" t="s">
        <v>347</v>
      </c>
      <c r="C55" s="36" t="s">
        <v>360</v>
      </c>
      <c r="D55" s="37" t="s">
        <v>361</v>
      </c>
      <c r="E55" s="38" t="s">
        <v>155</v>
      </c>
      <c r="F55" s="39">
        <v>3</v>
      </c>
      <c r="G55" s="40">
        <f>INDEX('Thông số'!$B$6:$B$10,MATCH(E55,'Thông số'!$A$6:$A$10,0))*'Thông số'!$B$26</f>
        <v>1400000</v>
      </c>
      <c r="H55" s="40">
        <f t="shared" si="4"/>
        <v>4200000</v>
      </c>
      <c r="I55" s="38">
        <v>0</v>
      </c>
      <c r="J55" s="38">
        <v>0</v>
      </c>
      <c r="K55" s="38">
        <v>0</v>
      </c>
      <c r="L55" s="38">
        <v>0</v>
      </c>
      <c r="M55" s="38">
        <v>0</v>
      </c>
      <c r="N55" s="38">
        <v>1</v>
      </c>
      <c r="O55" s="32">
        <v>0</v>
      </c>
      <c r="P55" s="41">
        <f t="shared" si="5"/>
        <v>0</v>
      </c>
      <c r="Q55" s="40">
        <f t="shared" si="6"/>
        <v>0</v>
      </c>
      <c r="R55" s="34" t="str">
        <f t="shared" si="7"/>
        <v>Trong gói</v>
      </c>
      <c r="S55" s="38">
        <v>0</v>
      </c>
      <c r="T55" s="38">
        <v>0</v>
      </c>
      <c r="U55" s="38">
        <v>0</v>
      </c>
      <c r="V55" s="38">
        <v>0</v>
      </c>
    </row>
    <row r="56" spans="1:22" ht="30" customHeight="1" x14ac:dyDescent="0.25">
      <c r="A56" s="25" t="s">
        <v>362</v>
      </c>
      <c r="B56" s="26" t="s">
        <v>363</v>
      </c>
      <c r="C56" s="27" t="s">
        <v>364</v>
      </c>
      <c r="D56" s="28" t="s">
        <v>365</v>
      </c>
      <c r="E56" s="29" t="s">
        <v>155</v>
      </c>
      <c r="F56" s="30">
        <v>2</v>
      </c>
      <c r="G56" s="31">
        <f>INDEX('Thông số'!$B$6:$B$10,MATCH(E56,'Thông số'!$A$6:$A$10,0))*'Thông số'!$B$26</f>
        <v>1400000</v>
      </c>
      <c r="H56" s="31">
        <f t="shared" si="4"/>
        <v>2800000</v>
      </c>
      <c r="I56" s="29">
        <v>0</v>
      </c>
      <c r="J56" s="29">
        <v>0</v>
      </c>
      <c r="K56" s="29">
        <v>0</v>
      </c>
      <c r="L56" s="29">
        <v>1</v>
      </c>
      <c r="M56" s="29">
        <v>1</v>
      </c>
      <c r="N56" s="29">
        <v>0</v>
      </c>
      <c r="O56" s="32">
        <v>0</v>
      </c>
      <c r="P56" s="33">
        <f t="shared" si="5"/>
        <v>0</v>
      </c>
      <c r="Q56" s="31">
        <f t="shared" si="6"/>
        <v>0</v>
      </c>
      <c r="R56" s="25" t="str">
        <f t="shared" si="7"/>
        <v>Trong gói</v>
      </c>
      <c r="S56" s="29">
        <v>0</v>
      </c>
      <c r="T56" s="29">
        <v>0</v>
      </c>
      <c r="U56" s="29">
        <v>0</v>
      </c>
      <c r="V56" s="29">
        <v>1</v>
      </c>
    </row>
    <row r="57" spans="1:22" ht="30" customHeight="1" x14ac:dyDescent="0.25">
      <c r="A57" s="25" t="s">
        <v>366</v>
      </c>
      <c r="B57" s="26" t="s">
        <v>363</v>
      </c>
      <c r="C57" s="27" t="s">
        <v>367</v>
      </c>
      <c r="D57" s="28" t="s">
        <v>368</v>
      </c>
      <c r="E57" s="29" t="s">
        <v>155</v>
      </c>
      <c r="F57" s="30">
        <v>1</v>
      </c>
      <c r="G57" s="31">
        <f>INDEX('Thông số'!$B$6:$B$10,MATCH(E57,'Thông số'!$A$6:$A$10,0))*'Thông số'!$B$26</f>
        <v>1400000</v>
      </c>
      <c r="H57" s="31">
        <f t="shared" si="4"/>
        <v>1400000</v>
      </c>
      <c r="I57" s="29">
        <v>1</v>
      </c>
      <c r="J57" s="29">
        <v>1</v>
      </c>
      <c r="K57" s="29">
        <v>1</v>
      </c>
      <c r="L57" s="29">
        <v>0</v>
      </c>
      <c r="M57" s="29">
        <v>0</v>
      </c>
      <c r="N57" s="29">
        <v>0</v>
      </c>
      <c r="O57" s="32">
        <v>1</v>
      </c>
      <c r="P57" s="33">
        <f t="shared" si="5"/>
        <v>1</v>
      </c>
      <c r="Q57" s="31">
        <f t="shared" si="6"/>
        <v>1400000</v>
      </c>
      <c r="R57" s="25" t="str">
        <f t="shared" si="7"/>
        <v>Trong gói</v>
      </c>
      <c r="S57" s="29">
        <v>0</v>
      </c>
      <c r="T57" s="29">
        <v>1</v>
      </c>
      <c r="U57" s="29">
        <v>1</v>
      </c>
      <c r="V57" s="29">
        <v>1</v>
      </c>
    </row>
    <row r="58" spans="1:22" ht="30" customHeight="1" x14ac:dyDescent="0.25">
      <c r="A58" s="25" t="s">
        <v>369</v>
      </c>
      <c r="B58" s="26" t="s">
        <v>363</v>
      </c>
      <c r="C58" s="27" t="s">
        <v>370</v>
      </c>
      <c r="D58" s="28" t="s">
        <v>371</v>
      </c>
      <c r="E58" s="29" t="s">
        <v>155</v>
      </c>
      <c r="F58" s="30">
        <v>3</v>
      </c>
      <c r="G58" s="31">
        <f>INDEX('Thông số'!$B$6:$B$10,MATCH(E58,'Thông số'!$A$6:$A$10,0))*'Thông số'!$B$26</f>
        <v>1400000</v>
      </c>
      <c r="H58" s="31">
        <f t="shared" si="4"/>
        <v>4200000</v>
      </c>
      <c r="I58" s="29">
        <v>0</v>
      </c>
      <c r="J58" s="29">
        <v>0</v>
      </c>
      <c r="K58" s="29">
        <v>0</v>
      </c>
      <c r="L58" s="29">
        <v>0</v>
      </c>
      <c r="M58" s="29">
        <v>0</v>
      </c>
      <c r="N58" s="29">
        <v>0</v>
      </c>
      <c r="O58" s="32">
        <v>0</v>
      </c>
      <c r="P58" s="33">
        <f t="shared" si="5"/>
        <v>0</v>
      </c>
      <c r="Q58" s="31">
        <f t="shared" si="6"/>
        <v>0</v>
      </c>
      <c r="R58" s="25" t="str">
        <f t="shared" si="7"/>
        <v>Tùy chọn</v>
      </c>
      <c r="S58" s="29">
        <v>0</v>
      </c>
      <c r="T58" s="29">
        <v>0</v>
      </c>
      <c r="U58" s="29">
        <v>0</v>
      </c>
      <c r="V58" s="29">
        <v>1</v>
      </c>
    </row>
    <row r="59" spans="1:22" ht="30" customHeight="1" x14ac:dyDescent="0.25">
      <c r="A59" s="25" t="s">
        <v>372</v>
      </c>
      <c r="B59" s="26" t="s">
        <v>363</v>
      </c>
      <c r="C59" s="27" t="s">
        <v>103</v>
      </c>
      <c r="D59" s="28" t="s">
        <v>373</v>
      </c>
      <c r="E59" s="29" t="s">
        <v>155</v>
      </c>
      <c r="F59" s="30">
        <v>5</v>
      </c>
      <c r="G59" s="31">
        <f>INDEX('Thông số'!$B$6:$B$10,MATCH(E59,'Thông số'!$A$6:$A$10,0))*'Thông số'!$B$26</f>
        <v>1400000</v>
      </c>
      <c r="H59" s="31">
        <f t="shared" si="4"/>
        <v>7000000</v>
      </c>
      <c r="I59" s="29">
        <v>0</v>
      </c>
      <c r="J59" s="29">
        <v>0</v>
      </c>
      <c r="K59" s="29">
        <v>0</v>
      </c>
      <c r="L59" s="29">
        <v>0</v>
      </c>
      <c r="M59" s="29">
        <v>0</v>
      </c>
      <c r="N59" s="29">
        <v>0</v>
      </c>
      <c r="O59" s="32">
        <v>0</v>
      </c>
      <c r="P59" s="33">
        <f t="shared" si="5"/>
        <v>0</v>
      </c>
      <c r="Q59" s="31">
        <f t="shared" si="6"/>
        <v>0</v>
      </c>
      <c r="R59" s="25" t="str">
        <f t="shared" si="7"/>
        <v>Tùy chọn</v>
      </c>
      <c r="S59" s="29">
        <v>0</v>
      </c>
      <c r="T59" s="29">
        <v>0</v>
      </c>
      <c r="U59" s="29">
        <v>0</v>
      </c>
      <c r="V59" s="29">
        <v>1</v>
      </c>
    </row>
    <row r="60" spans="1:22" ht="30" customHeight="1" x14ac:dyDescent="0.25">
      <c r="A60" s="25" t="s">
        <v>374</v>
      </c>
      <c r="B60" s="26" t="s">
        <v>363</v>
      </c>
      <c r="C60" s="27" t="s">
        <v>375</v>
      </c>
      <c r="D60" s="28" t="s">
        <v>376</v>
      </c>
      <c r="E60" s="29" t="s">
        <v>155</v>
      </c>
      <c r="F60" s="30">
        <v>5</v>
      </c>
      <c r="G60" s="31">
        <f>INDEX('Thông số'!$B$6:$B$10,MATCH(E60,'Thông số'!$A$6:$A$10,0))*'Thông số'!$B$26</f>
        <v>1400000</v>
      </c>
      <c r="H60" s="31">
        <f t="shared" si="4"/>
        <v>7000000</v>
      </c>
      <c r="I60" s="29">
        <v>0</v>
      </c>
      <c r="J60" s="29">
        <v>0</v>
      </c>
      <c r="K60" s="29">
        <v>0</v>
      </c>
      <c r="L60" s="29">
        <v>0</v>
      </c>
      <c r="M60" s="29">
        <v>0</v>
      </c>
      <c r="N60" s="29">
        <v>0</v>
      </c>
      <c r="O60" s="32">
        <v>0</v>
      </c>
      <c r="P60" s="33">
        <f t="shared" si="5"/>
        <v>0</v>
      </c>
      <c r="Q60" s="31">
        <f t="shared" si="6"/>
        <v>0</v>
      </c>
      <c r="R60" s="25" t="str">
        <f t="shared" si="7"/>
        <v>Tùy chọn</v>
      </c>
      <c r="S60" s="29">
        <v>0</v>
      </c>
      <c r="T60" s="29">
        <v>0</v>
      </c>
      <c r="U60" s="29">
        <v>0</v>
      </c>
      <c r="V60" s="29">
        <v>0</v>
      </c>
    </row>
    <row r="61" spans="1:22" ht="30" customHeight="1" x14ac:dyDescent="0.25">
      <c r="A61" s="25" t="s">
        <v>377</v>
      </c>
      <c r="B61" s="26" t="s">
        <v>363</v>
      </c>
      <c r="C61" s="27" t="s">
        <v>378</v>
      </c>
      <c r="D61" s="28" t="s">
        <v>379</v>
      </c>
      <c r="E61" s="29" t="s">
        <v>155</v>
      </c>
      <c r="F61" s="30">
        <v>4</v>
      </c>
      <c r="G61" s="31">
        <f>INDEX('Thông số'!$B$6:$B$10,MATCH(E61,'Thông số'!$A$6:$A$10,0))*'Thông số'!$B$26</f>
        <v>1400000</v>
      </c>
      <c r="H61" s="31">
        <f t="shared" si="4"/>
        <v>5600000</v>
      </c>
      <c r="I61" s="29">
        <v>0</v>
      </c>
      <c r="J61" s="29">
        <v>0</v>
      </c>
      <c r="K61" s="29">
        <v>0</v>
      </c>
      <c r="L61" s="29">
        <v>0</v>
      </c>
      <c r="M61" s="29">
        <v>0</v>
      </c>
      <c r="N61" s="29">
        <v>0</v>
      </c>
      <c r="O61" s="32">
        <v>0</v>
      </c>
      <c r="P61" s="33">
        <f t="shared" si="5"/>
        <v>0</v>
      </c>
      <c r="Q61" s="31">
        <f t="shared" si="6"/>
        <v>0</v>
      </c>
      <c r="R61" s="25" t="str">
        <f t="shared" si="7"/>
        <v>Tùy chọn</v>
      </c>
      <c r="S61" s="29">
        <v>0</v>
      </c>
      <c r="T61" s="29">
        <v>0</v>
      </c>
      <c r="U61" s="29">
        <v>0</v>
      </c>
      <c r="V61" s="29">
        <v>0</v>
      </c>
    </row>
    <row r="62" spans="1:22" ht="30" customHeight="1" x14ac:dyDescent="0.25">
      <c r="A62" s="25" t="s">
        <v>380</v>
      </c>
      <c r="B62" s="26" t="s">
        <v>363</v>
      </c>
      <c r="C62" s="27" t="s">
        <v>381</v>
      </c>
      <c r="D62" s="28" t="s">
        <v>382</v>
      </c>
      <c r="E62" s="29" t="s">
        <v>155</v>
      </c>
      <c r="F62" s="30">
        <v>10</v>
      </c>
      <c r="G62" s="31">
        <f>INDEX('Thông số'!$B$6:$B$10,MATCH(E62,'Thông số'!$A$6:$A$10,0))*'Thông số'!$B$26</f>
        <v>1400000</v>
      </c>
      <c r="H62" s="31">
        <f t="shared" si="4"/>
        <v>14000000</v>
      </c>
      <c r="I62" s="29">
        <v>0</v>
      </c>
      <c r="J62" s="29">
        <v>0</v>
      </c>
      <c r="K62" s="29">
        <v>0</v>
      </c>
      <c r="L62" s="29">
        <v>0</v>
      </c>
      <c r="M62" s="29">
        <v>0</v>
      </c>
      <c r="N62" s="29">
        <v>0</v>
      </c>
      <c r="O62" s="32">
        <v>0</v>
      </c>
      <c r="P62" s="33">
        <f t="shared" si="5"/>
        <v>0</v>
      </c>
      <c r="Q62" s="31">
        <f t="shared" si="6"/>
        <v>0</v>
      </c>
      <c r="R62" s="25" t="str">
        <f t="shared" si="7"/>
        <v>Tùy chọn</v>
      </c>
      <c r="S62" s="29">
        <v>0</v>
      </c>
      <c r="T62" s="29">
        <v>0</v>
      </c>
      <c r="U62" s="29">
        <v>0</v>
      </c>
      <c r="V62" s="29">
        <v>1</v>
      </c>
    </row>
    <row r="63" spans="1:22" ht="30" customHeight="1" x14ac:dyDescent="0.25">
      <c r="A63" s="34" t="s">
        <v>383</v>
      </c>
      <c r="B63" s="35" t="s">
        <v>384</v>
      </c>
      <c r="C63" s="36" t="s">
        <v>385</v>
      </c>
      <c r="D63" s="37" t="s">
        <v>386</v>
      </c>
      <c r="E63" s="38" t="s">
        <v>159</v>
      </c>
      <c r="F63" s="39">
        <v>1.5</v>
      </c>
      <c r="G63" s="40">
        <f>INDEX('Thông số'!$B$6:$B$10,MATCH(E63,'Thông số'!$A$6:$A$10,0))*'Thông số'!$B$26</f>
        <v>700000</v>
      </c>
      <c r="H63" s="40">
        <f t="shared" si="4"/>
        <v>1050000</v>
      </c>
      <c r="I63" s="38">
        <v>1</v>
      </c>
      <c r="J63" s="38">
        <v>1</v>
      </c>
      <c r="K63" s="38">
        <v>1</v>
      </c>
      <c r="L63" s="38">
        <v>0</v>
      </c>
      <c r="M63" s="38">
        <v>0</v>
      </c>
      <c r="N63" s="38">
        <v>0</v>
      </c>
      <c r="O63" s="32">
        <v>1</v>
      </c>
      <c r="P63" s="41">
        <f t="shared" si="5"/>
        <v>1.5</v>
      </c>
      <c r="Q63" s="40">
        <f t="shared" si="6"/>
        <v>1050000</v>
      </c>
      <c r="R63" s="34" t="str">
        <f t="shared" si="7"/>
        <v>Trong gói</v>
      </c>
      <c r="S63" s="38">
        <v>1</v>
      </c>
      <c r="T63" s="38">
        <v>1</v>
      </c>
      <c r="U63" s="38">
        <v>1</v>
      </c>
      <c r="V63" s="38">
        <v>1</v>
      </c>
    </row>
    <row r="64" spans="1:22" ht="30" customHeight="1" x14ac:dyDescent="0.25">
      <c r="A64" s="34" t="s">
        <v>387</v>
      </c>
      <c r="B64" s="35" t="s">
        <v>384</v>
      </c>
      <c r="C64" s="36" t="s">
        <v>388</v>
      </c>
      <c r="D64" s="37" t="s">
        <v>389</v>
      </c>
      <c r="E64" s="38" t="s">
        <v>159</v>
      </c>
      <c r="F64" s="39">
        <v>8</v>
      </c>
      <c r="G64" s="40">
        <f>INDEX('Thông số'!$B$6:$B$10,MATCH(E64,'Thông số'!$A$6:$A$10,0))*'Thông số'!$B$26</f>
        <v>700000</v>
      </c>
      <c r="H64" s="40">
        <f t="shared" si="4"/>
        <v>5600000</v>
      </c>
      <c r="I64" s="38">
        <v>0</v>
      </c>
      <c r="J64" s="38">
        <v>0</v>
      </c>
      <c r="K64" s="38">
        <v>0</v>
      </c>
      <c r="L64" s="38">
        <v>1</v>
      </c>
      <c r="M64" s="38">
        <v>1</v>
      </c>
      <c r="N64" s="38">
        <v>1</v>
      </c>
      <c r="O64" s="32">
        <v>0</v>
      </c>
      <c r="P64" s="41">
        <f t="shared" si="5"/>
        <v>0</v>
      </c>
      <c r="Q64" s="40">
        <f t="shared" si="6"/>
        <v>0</v>
      </c>
      <c r="R64" s="34" t="str">
        <f t="shared" si="7"/>
        <v>Trong gói</v>
      </c>
      <c r="S64" s="38">
        <v>0</v>
      </c>
      <c r="T64" s="38">
        <v>0</v>
      </c>
      <c r="U64" s="38">
        <v>0</v>
      </c>
      <c r="V64" s="38">
        <v>0</v>
      </c>
    </row>
    <row r="65" spans="1:22" ht="30" customHeight="1" x14ac:dyDescent="0.25">
      <c r="A65" s="34" t="s">
        <v>390</v>
      </c>
      <c r="B65" s="35" t="s">
        <v>384</v>
      </c>
      <c r="C65" s="36" t="s">
        <v>391</v>
      </c>
      <c r="D65" s="37" t="s">
        <v>392</v>
      </c>
      <c r="E65" s="38" t="s">
        <v>155</v>
      </c>
      <c r="F65" s="39">
        <v>2</v>
      </c>
      <c r="G65" s="40">
        <f>INDEX('Thông số'!$B$6:$B$10,MATCH(E65,'Thông số'!$A$6:$A$10,0))*'Thông số'!$B$26</f>
        <v>1400000</v>
      </c>
      <c r="H65" s="40">
        <f t="shared" si="4"/>
        <v>2800000</v>
      </c>
      <c r="I65" s="38">
        <v>0</v>
      </c>
      <c r="J65" s="38">
        <v>0</v>
      </c>
      <c r="K65" s="38">
        <v>1</v>
      </c>
      <c r="L65" s="38">
        <v>1</v>
      </c>
      <c r="M65" s="38">
        <v>1</v>
      </c>
      <c r="N65" s="38">
        <v>1</v>
      </c>
      <c r="O65" s="32">
        <v>1</v>
      </c>
      <c r="P65" s="41">
        <f t="shared" si="5"/>
        <v>2</v>
      </c>
      <c r="Q65" s="40">
        <f t="shared" si="6"/>
        <v>2800000</v>
      </c>
      <c r="R65" s="34" t="str">
        <f t="shared" si="7"/>
        <v>Trong gói</v>
      </c>
      <c r="S65" s="38">
        <v>0</v>
      </c>
      <c r="T65" s="38">
        <v>0</v>
      </c>
      <c r="U65" s="38">
        <v>1</v>
      </c>
      <c r="V65" s="38">
        <v>1</v>
      </c>
    </row>
    <row r="66" spans="1:22" ht="30" customHeight="1" x14ac:dyDescent="0.25">
      <c r="A66" s="34" t="s">
        <v>393</v>
      </c>
      <c r="B66" s="35" t="s">
        <v>384</v>
      </c>
      <c r="C66" s="36" t="s">
        <v>394</v>
      </c>
      <c r="D66" s="37" t="s">
        <v>395</v>
      </c>
      <c r="E66" s="38" t="s">
        <v>159</v>
      </c>
      <c r="F66" s="39">
        <v>2</v>
      </c>
      <c r="G66" s="40">
        <f>INDEX('Thông số'!$B$6:$B$10,MATCH(E66,'Thông số'!$A$6:$A$10,0))*'Thông số'!$B$26</f>
        <v>700000</v>
      </c>
      <c r="H66" s="40">
        <f t="shared" si="4"/>
        <v>1400000</v>
      </c>
      <c r="I66" s="38">
        <v>0</v>
      </c>
      <c r="J66" s="38">
        <v>0</v>
      </c>
      <c r="K66" s="38">
        <v>0</v>
      </c>
      <c r="L66" s="38">
        <v>0</v>
      </c>
      <c r="M66" s="38">
        <v>0</v>
      </c>
      <c r="N66" s="38">
        <v>0</v>
      </c>
      <c r="O66" s="32">
        <v>0</v>
      </c>
      <c r="P66" s="41">
        <f t="shared" si="5"/>
        <v>0</v>
      </c>
      <c r="Q66" s="40">
        <f t="shared" si="6"/>
        <v>0</v>
      </c>
      <c r="R66" s="34" t="str">
        <f t="shared" si="7"/>
        <v>Tùy chọn</v>
      </c>
      <c r="S66" s="38">
        <v>0</v>
      </c>
      <c r="T66" s="38">
        <v>0</v>
      </c>
      <c r="U66" s="38">
        <v>0</v>
      </c>
      <c r="V66" s="38">
        <v>1</v>
      </c>
    </row>
    <row r="67" spans="1:22" ht="30" customHeight="1" x14ac:dyDescent="0.25">
      <c r="A67" s="34" t="s">
        <v>396</v>
      </c>
      <c r="B67" s="35" t="s">
        <v>384</v>
      </c>
      <c r="C67" s="36" t="s">
        <v>397</v>
      </c>
      <c r="D67" s="37" t="s">
        <v>398</v>
      </c>
      <c r="E67" s="38" t="s">
        <v>155</v>
      </c>
      <c r="F67" s="39">
        <v>2</v>
      </c>
      <c r="G67" s="40">
        <f>INDEX('Thông số'!$B$6:$B$10,MATCH(E67,'Thông số'!$A$6:$A$10,0))*'Thông số'!$B$26</f>
        <v>1400000</v>
      </c>
      <c r="H67" s="40">
        <f t="shared" si="4"/>
        <v>2800000</v>
      </c>
      <c r="I67" s="38">
        <v>1</v>
      </c>
      <c r="J67" s="38">
        <v>1</v>
      </c>
      <c r="K67" s="38">
        <v>1</v>
      </c>
      <c r="L67" s="38">
        <v>1</v>
      </c>
      <c r="M67" s="38">
        <v>1</v>
      </c>
      <c r="N67" s="38">
        <v>1</v>
      </c>
      <c r="O67" s="32">
        <v>1</v>
      </c>
      <c r="P67" s="41">
        <f t="shared" si="5"/>
        <v>2</v>
      </c>
      <c r="Q67" s="40">
        <f t="shared" si="6"/>
        <v>2800000</v>
      </c>
      <c r="R67" s="34" t="str">
        <f t="shared" si="7"/>
        <v>Trong gói</v>
      </c>
      <c r="S67" s="38">
        <v>1</v>
      </c>
      <c r="T67" s="38">
        <v>1</v>
      </c>
      <c r="U67" s="38">
        <v>1</v>
      </c>
      <c r="V67" s="38">
        <v>1</v>
      </c>
    </row>
    <row r="68" spans="1:22" ht="30" customHeight="1" x14ac:dyDescent="0.25">
      <c r="A68" s="25" t="s">
        <v>399</v>
      </c>
      <c r="B68" s="26" t="s">
        <v>400</v>
      </c>
      <c r="C68" s="27" t="s">
        <v>401</v>
      </c>
      <c r="D68" s="28" t="s">
        <v>402</v>
      </c>
      <c r="E68" s="29" t="s">
        <v>157</v>
      </c>
      <c r="F68" s="30">
        <v>0.5</v>
      </c>
      <c r="G68" s="31">
        <f>INDEX('Thông số'!$B$6:$B$10,MATCH(E68,'Thông số'!$A$6:$A$10,0))*'Thông số'!$B$26</f>
        <v>1400000</v>
      </c>
      <c r="H68" s="31">
        <f t="shared" si="4"/>
        <v>700000</v>
      </c>
      <c r="I68" s="29">
        <v>1</v>
      </c>
      <c r="J68" s="29">
        <v>1</v>
      </c>
      <c r="K68" s="29">
        <v>1</v>
      </c>
      <c r="L68" s="29">
        <v>1</v>
      </c>
      <c r="M68" s="29">
        <v>1</v>
      </c>
      <c r="N68" s="29">
        <v>1</v>
      </c>
      <c r="O68" s="32">
        <v>1</v>
      </c>
      <c r="P68" s="33">
        <f t="shared" si="5"/>
        <v>0.5</v>
      </c>
      <c r="Q68" s="31">
        <f t="shared" si="6"/>
        <v>700000</v>
      </c>
      <c r="R68" s="25" t="str">
        <f t="shared" si="7"/>
        <v>Trong gói</v>
      </c>
      <c r="S68" s="29">
        <v>1</v>
      </c>
      <c r="T68" s="29">
        <v>1</v>
      </c>
      <c r="U68" s="29">
        <v>1</v>
      </c>
      <c r="V68" s="29">
        <v>1</v>
      </c>
    </row>
    <row r="69" spans="1:22" ht="30" customHeight="1" x14ac:dyDescent="0.25">
      <c r="A69" s="25" t="s">
        <v>403</v>
      </c>
      <c r="B69" s="26" t="s">
        <v>400</v>
      </c>
      <c r="C69" s="27" t="s">
        <v>404</v>
      </c>
      <c r="D69" s="28" t="s">
        <v>405</v>
      </c>
      <c r="E69" s="29" t="s">
        <v>157</v>
      </c>
      <c r="F69" s="30">
        <v>0.5</v>
      </c>
      <c r="G69" s="31">
        <f>INDEX('Thông số'!$B$6:$B$10,MATCH(E69,'Thông số'!$A$6:$A$10,0))*'Thông số'!$B$26</f>
        <v>1400000</v>
      </c>
      <c r="H69" s="31">
        <f t="shared" si="4"/>
        <v>700000</v>
      </c>
      <c r="I69" s="29">
        <v>1</v>
      </c>
      <c r="J69" s="29">
        <v>1</v>
      </c>
      <c r="K69" s="29">
        <v>0</v>
      </c>
      <c r="L69" s="29">
        <v>0</v>
      </c>
      <c r="M69" s="29">
        <v>0</v>
      </c>
      <c r="N69" s="29">
        <v>0</v>
      </c>
      <c r="O69" s="32">
        <v>0</v>
      </c>
      <c r="P69" s="33">
        <f t="shared" si="5"/>
        <v>0</v>
      </c>
      <c r="Q69" s="31">
        <f t="shared" si="6"/>
        <v>0</v>
      </c>
      <c r="R69" s="25" t="str">
        <f t="shared" si="7"/>
        <v>Trong gói</v>
      </c>
      <c r="S69" s="29">
        <v>1</v>
      </c>
      <c r="T69" s="29">
        <v>1</v>
      </c>
      <c r="U69" s="29">
        <v>0</v>
      </c>
      <c r="V69" s="29">
        <v>0</v>
      </c>
    </row>
    <row r="70" spans="1:22" ht="30" customHeight="1" x14ac:dyDescent="0.25">
      <c r="A70" s="25" t="s">
        <v>406</v>
      </c>
      <c r="B70" s="26" t="s">
        <v>400</v>
      </c>
      <c r="C70" s="27" t="s">
        <v>407</v>
      </c>
      <c r="D70" s="28" t="s">
        <v>408</v>
      </c>
      <c r="E70" s="29" t="s">
        <v>157</v>
      </c>
      <c r="F70" s="30">
        <v>2</v>
      </c>
      <c r="G70" s="31">
        <f>INDEX('Thông số'!$B$6:$B$10,MATCH(E70,'Thông số'!$A$6:$A$10,0))*'Thông số'!$B$26</f>
        <v>1400000</v>
      </c>
      <c r="H70" s="31">
        <f t="shared" ref="H70:H76" si="8">F70*G70</f>
        <v>2800000</v>
      </c>
      <c r="I70" s="29">
        <v>0</v>
      </c>
      <c r="J70" s="29">
        <v>0</v>
      </c>
      <c r="K70" s="29">
        <v>1</v>
      </c>
      <c r="L70" s="29">
        <v>1</v>
      </c>
      <c r="M70" s="29">
        <v>1</v>
      </c>
      <c r="N70" s="29">
        <v>1</v>
      </c>
      <c r="O70" s="32">
        <v>1</v>
      </c>
      <c r="P70" s="33">
        <f t="shared" ref="P70:P76" si="9">F70*O70</f>
        <v>2</v>
      </c>
      <c r="Q70" s="31">
        <f t="shared" ref="Q70:Q76" si="10">H70*O70</f>
        <v>2800000</v>
      </c>
      <c r="R70" s="25" t="str">
        <f t="shared" ref="R70:R76" si="11">IF(SUM(I70:N70)=0,"Tùy chọn","Trong gói")</f>
        <v>Trong gói</v>
      </c>
      <c r="S70" s="29">
        <v>0</v>
      </c>
      <c r="T70" s="29">
        <v>0</v>
      </c>
      <c r="U70" s="29">
        <v>1</v>
      </c>
      <c r="V70" s="29">
        <v>1</v>
      </c>
    </row>
    <row r="71" spans="1:22" ht="30" customHeight="1" x14ac:dyDescent="0.25">
      <c r="A71" s="25" t="s">
        <v>409</v>
      </c>
      <c r="B71" s="26" t="s">
        <v>400</v>
      </c>
      <c r="C71" s="27" t="s">
        <v>410</v>
      </c>
      <c r="D71" s="28" t="s">
        <v>411</v>
      </c>
      <c r="E71" s="29" t="s">
        <v>157</v>
      </c>
      <c r="F71" s="30">
        <v>2</v>
      </c>
      <c r="G71" s="31">
        <f>INDEX('Thông số'!$B$6:$B$10,MATCH(E71,'Thông số'!$A$6:$A$10,0))*'Thông số'!$B$26</f>
        <v>1400000</v>
      </c>
      <c r="H71" s="31">
        <f t="shared" si="8"/>
        <v>2800000</v>
      </c>
      <c r="I71" s="29">
        <v>0</v>
      </c>
      <c r="J71" s="29">
        <v>0</v>
      </c>
      <c r="K71" s="29">
        <v>1</v>
      </c>
      <c r="L71" s="29">
        <v>1</v>
      </c>
      <c r="M71" s="29">
        <v>1</v>
      </c>
      <c r="N71" s="29">
        <v>1</v>
      </c>
      <c r="O71" s="32">
        <v>1</v>
      </c>
      <c r="P71" s="33">
        <f t="shared" si="9"/>
        <v>2</v>
      </c>
      <c r="Q71" s="31">
        <f t="shared" si="10"/>
        <v>2800000</v>
      </c>
      <c r="R71" s="25" t="str">
        <f t="shared" si="11"/>
        <v>Trong gói</v>
      </c>
      <c r="S71" s="29">
        <v>0</v>
      </c>
      <c r="T71" s="29">
        <v>0</v>
      </c>
      <c r="U71" s="29">
        <v>1</v>
      </c>
      <c r="V71" s="29">
        <v>1</v>
      </c>
    </row>
    <row r="72" spans="1:22" ht="30" customHeight="1" x14ac:dyDescent="0.25">
      <c r="A72" s="25" t="s">
        <v>412</v>
      </c>
      <c r="B72" s="26" t="s">
        <v>400</v>
      </c>
      <c r="C72" s="27" t="s">
        <v>413</v>
      </c>
      <c r="D72" s="28" t="s">
        <v>414</v>
      </c>
      <c r="E72" s="29" t="s">
        <v>157</v>
      </c>
      <c r="F72" s="30">
        <v>2</v>
      </c>
      <c r="G72" s="31">
        <f>INDEX('Thông số'!$B$6:$B$10,MATCH(E72,'Thông số'!$A$6:$A$10,0))*'Thông số'!$B$26</f>
        <v>1400000</v>
      </c>
      <c r="H72" s="31">
        <f t="shared" si="8"/>
        <v>2800000</v>
      </c>
      <c r="I72" s="29">
        <v>0</v>
      </c>
      <c r="J72" s="29">
        <v>0</v>
      </c>
      <c r="K72" s="29">
        <v>1</v>
      </c>
      <c r="L72" s="29">
        <v>1</v>
      </c>
      <c r="M72" s="29">
        <v>1</v>
      </c>
      <c r="N72" s="29">
        <v>1</v>
      </c>
      <c r="O72" s="32">
        <v>1</v>
      </c>
      <c r="P72" s="33">
        <f t="shared" si="9"/>
        <v>2</v>
      </c>
      <c r="Q72" s="31">
        <f t="shared" si="10"/>
        <v>2800000</v>
      </c>
      <c r="R72" s="25" t="str">
        <f t="shared" si="11"/>
        <v>Trong gói</v>
      </c>
      <c r="S72" s="29">
        <v>0</v>
      </c>
      <c r="T72" s="29">
        <v>0</v>
      </c>
      <c r="U72" s="29">
        <v>1</v>
      </c>
      <c r="V72" s="29">
        <v>1</v>
      </c>
    </row>
    <row r="73" spans="1:22" ht="30" customHeight="1" x14ac:dyDescent="0.25">
      <c r="A73" s="34" t="s">
        <v>415</v>
      </c>
      <c r="B73" s="35" t="s">
        <v>416</v>
      </c>
      <c r="C73" s="36" t="s">
        <v>417</v>
      </c>
      <c r="D73" s="37" t="s">
        <v>418</v>
      </c>
      <c r="E73" s="38" t="s">
        <v>151</v>
      </c>
      <c r="F73" s="39">
        <v>1</v>
      </c>
      <c r="G73" s="40">
        <f>INDEX('Thông số'!$B$6:$B$10,MATCH(E73,'Thông số'!$A$6:$A$10,0))*'Thông số'!$B$26</f>
        <v>1050000</v>
      </c>
      <c r="H73" s="40">
        <f t="shared" si="8"/>
        <v>1050000</v>
      </c>
      <c r="I73" s="38">
        <v>1</v>
      </c>
      <c r="J73" s="38">
        <v>1</v>
      </c>
      <c r="K73" s="38">
        <v>1</v>
      </c>
      <c r="L73" s="38">
        <v>0</v>
      </c>
      <c r="M73" s="38">
        <v>0</v>
      </c>
      <c r="N73" s="38">
        <v>0</v>
      </c>
      <c r="O73" s="32">
        <v>1</v>
      </c>
      <c r="P73" s="41">
        <f t="shared" si="9"/>
        <v>1</v>
      </c>
      <c r="Q73" s="40">
        <f t="shared" si="10"/>
        <v>1050000</v>
      </c>
      <c r="R73" s="34" t="str">
        <f t="shared" si="11"/>
        <v>Trong gói</v>
      </c>
      <c r="S73" s="38">
        <v>1</v>
      </c>
      <c r="T73" s="38">
        <v>1</v>
      </c>
      <c r="U73" s="38">
        <v>1</v>
      </c>
      <c r="V73" s="38">
        <v>1</v>
      </c>
    </row>
    <row r="74" spans="1:22" ht="30" customHeight="1" x14ac:dyDescent="0.25">
      <c r="A74" s="34" t="s">
        <v>419</v>
      </c>
      <c r="B74" s="35" t="s">
        <v>416</v>
      </c>
      <c r="C74" s="36" t="s">
        <v>420</v>
      </c>
      <c r="D74" s="37" t="s">
        <v>421</v>
      </c>
      <c r="E74" s="38" t="s">
        <v>151</v>
      </c>
      <c r="F74" s="39">
        <v>2</v>
      </c>
      <c r="G74" s="40">
        <f>INDEX('Thông số'!$B$6:$B$10,MATCH(E74,'Thông số'!$A$6:$A$10,0))*'Thông số'!$B$26</f>
        <v>1050000</v>
      </c>
      <c r="H74" s="40">
        <f t="shared" si="8"/>
        <v>2100000</v>
      </c>
      <c r="I74" s="38">
        <v>0</v>
      </c>
      <c r="J74" s="38">
        <v>0</v>
      </c>
      <c r="K74" s="38">
        <v>1</v>
      </c>
      <c r="L74" s="38">
        <v>1</v>
      </c>
      <c r="M74" s="38">
        <v>1</v>
      </c>
      <c r="N74" s="38">
        <v>1</v>
      </c>
      <c r="O74" s="32">
        <v>1</v>
      </c>
      <c r="P74" s="41">
        <f t="shared" si="9"/>
        <v>2</v>
      </c>
      <c r="Q74" s="40">
        <f t="shared" si="10"/>
        <v>2100000</v>
      </c>
      <c r="R74" s="34" t="str">
        <f t="shared" si="11"/>
        <v>Trong gói</v>
      </c>
      <c r="S74" s="38">
        <v>0</v>
      </c>
      <c r="T74" s="38">
        <v>0</v>
      </c>
      <c r="U74" s="38">
        <v>1</v>
      </c>
      <c r="V74" s="38">
        <v>1</v>
      </c>
    </row>
    <row r="75" spans="1:22" ht="30" customHeight="1" x14ac:dyDescent="0.25">
      <c r="A75" s="34" t="s">
        <v>422</v>
      </c>
      <c r="B75" s="35" t="s">
        <v>416</v>
      </c>
      <c r="C75" s="36" t="s">
        <v>423</v>
      </c>
      <c r="D75" s="37" t="s">
        <v>424</v>
      </c>
      <c r="E75" s="38" t="s">
        <v>151</v>
      </c>
      <c r="F75" s="39">
        <v>1</v>
      </c>
      <c r="G75" s="40">
        <f>INDEX('Thông số'!$B$6:$B$10,MATCH(E75,'Thông số'!$A$6:$A$10,0))*'Thông số'!$B$26</f>
        <v>1050000</v>
      </c>
      <c r="H75" s="40">
        <f t="shared" si="8"/>
        <v>1050000</v>
      </c>
      <c r="I75" s="38">
        <v>0</v>
      </c>
      <c r="J75" s="38">
        <v>0</v>
      </c>
      <c r="K75" s="38">
        <v>1</v>
      </c>
      <c r="L75" s="38">
        <v>1</v>
      </c>
      <c r="M75" s="38">
        <v>1</v>
      </c>
      <c r="N75" s="38">
        <v>1</v>
      </c>
      <c r="O75" s="32">
        <v>1</v>
      </c>
      <c r="P75" s="41">
        <f t="shared" si="9"/>
        <v>1</v>
      </c>
      <c r="Q75" s="40">
        <f t="shared" si="10"/>
        <v>1050000</v>
      </c>
      <c r="R75" s="34" t="str">
        <f t="shared" si="11"/>
        <v>Trong gói</v>
      </c>
      <c r="S75" s="38">
        <v>0</v>
      </c>
      <c r="T75" s="38">
        <v>0</v>
      </c>
      <c r="U75" s="38">
        <v>1</v>
      </c>
      <c r="V75" s="38">
        <v>1</v>
      </c>
    </row>
    <row r="76" spans="1:22" ht="30" customHeight="1" x14ac:dyDescent="0.25">
      <c r="A76" s="34" t="s">
        <v>425</v>
      </c>
      <c r="B76" s="35" t="s">
        <v>416</v>
      </c>
      <c r="C76" s="36" t="s">
        <v>426</v>
      </c>
      <c r="D76" s="37" t="s">
        <v>427</v>
      </c>
      <c r="E76" s="38" t="s">
        <v>155</v>
      </c>
      <c r="F76" s="39">
        <v>0.5</v>
      </c>
      <c r="G76" s="40">
        <f>INDEX('Thông số'!$B$6:$B$10,MATCH(E76,'Thông số'!$A$6:$A$10,0))*'Thông số'!$B$26</f>
        <v>1400000</v>
      </c>
      <c r="H76" s="40">
        <f t="shared" si="8"/>
        <v>700000</v>
      </c>
      <c r="I76" s="38">
        <v>1</v>
      </c>
      <c r="J76" s="38">
        <v>1</v>
      </c>
      <c r="K76" s="38">
        <v>1</v>
      </c>
      <c r="L76" s="38">
        <v>1</v>
      </c>
      <c r="M76" s="38">
        <v>1</v>
      </c>
      <c r="N76" s="38">
        <v>1</v>
      </c>
      <c r="O76" s="32">
        <v>1</v>
      </c>
      <c r="P76" s="41">
        <f t="shared" si="9"/>
        <v>0.5</v>
      </c>
      <c r="Q76" s="40">
        <f t="shared" si="10"/>
        <v>700000</v>
      </c>
      <c r="R76" s="34" t="str">
        <f t="shared" si="11"/>
        <v>Trong gói</v>
      </c>
      <c r="S76" s="38">
        <v>1</v>
      </c>
      <c r="T76" s="38">
        <v>1</v>
      </c>
      <c r="U76" s="38">
        <v>1</v>
      </c>
      <c r="V76" s="38">
        <v>1</v>
      </c>
    </row>
    <row r="77" spans="1:22" x14ac:dyDescent="0.25">
      <c r="A77" s="42"/>
      <c r="B77" s="42"/>
      <c r="C77" s="43" t="s">
        <v>428</v>
      </c>
      <c r="D77" s="44" t="s">
        <v>429</v>
      </c>
      <c r="E77" s="42"/>
      <c r="F77" s="45">
        <f>SUMPRODUCT(F6:F76,O6:O76)</f>
        <v>80</v>
      </c>
      <c r="G77" s="42"/>
      <c r="H77" s="42"/>
      <c r="I77" s="46">
        <f t="shared" ref="I77:N77" si="12">SUMPRODUCT(I6:I76,$H$6:$H$76)</f>
        <v>23800000</v>
      </c>
      <c r="J77" s="46">
        <f t="shared" si="12"/>
        <v>35000000</v>
      </c>
      <c r="K77" s="46">
        <f t="shared" si="12"/>
        <v>102900000</v>
      </c>
      <c r="L77" s="46">
        <f t="shared" si="12"/>
        <v>126000000</v>
      </c>
      <c r="M77" s="46">
        <f t="shared" si="12"/>
        <v>143500000</v>
      </c>
      <c r="N77" s="46">
        <f t="shared" si="12"/>
        <v>90650000</v>
      </c>
      <c r="O77" s="47">
        <f>SUM(O6:O76)</f>
        <v>32</v>
      </c>
      <c r="P77" s="45">
        <f>SUM(P6:P76)</f>
        <v>80</v>
      </c>
      <c r="Q77" s="46">
        <f>SUM(Q6:Q76)</f>
        <v>102900000</v>
      </c>
      <c r="R77" s="42"/>
      <c r="S77" s="46">
        <f>SUMPRODUCT(S6:S76,$H$6:$H$76)</f>
        <v>22400000</v>
      </c>
      <c r="T77" s="46">
        <f>SUMPRODUCT(T6:T76,$H$6:$H$76)</f>
        <v>35000000</v>
      </c>
      <c r="U77" s="46">
        <f>SUMPRODUCT(U6:U76,$H$6:$H$76)</f>
        <v>102900000</v>
      </c>
      <c r="V77" s="46">
        <f>SUMPRODUCT(V6:V76,$H$6:$H$76)</f>
        <v>136500000</v>
      </c>
    </row>
  </sheetData>
  <autoFilter ref="A5:V76" xr:uid="{00000000-0009-0000-0000-000003000000}"/>
  <dataValidations count="1">
    <dataValidation type="list" sqref="I6:O76 S6:V76" xr:uid="{00000000-0002-0000-0300-000000000000}">
      <formula1>"0,1"</formula1>
    </dataValidation>
  </dataValidations>
  <pageMargins left="0.75" right="0.75" top="1" bottom="1" header="0.5" footer="0.5"/>
  <extLst>
    <ext xmlns:x14="http://schemas.microsoft.com/office/spreadsheetml/2009/9/main" uri="{CCE6A557-97BC-4b89-ADB6-D9C93CAAB3DF}">
      <x14:dataValidations xmlns:xm="http://schemas.microsoft.com/office/excel/2006/main" count="1">
        <x14:dataValidation type="list" xr:uid="{00000000-0002-0000-0300-000001000000}">
          <x14:formula1>
            <xm:f>'Thông số'!$A$6:$A$10</xm:f>
          </x14:formula1>
          <xm:sqref>E6:E76</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EC4899"/>
    <pageSetUpPr fitToPage="1"/>
  </sheetPr>
  <dimension ref="A1:H39"/>
  <sheetViews>
    <sheetView showGridLines="0" workbookViewId="0">
      <pane xSplit="4" ySplit="4" topLeftCell="E5" activePane="bottomRight" state="frozen"/>
      <selection pane="topRight"/>
      <selection pane="bottomLeft"/>
      <selection pane="bottomRight" activeCell="G5" sqref="G5"/>
    </sheetView>
  </sheetViews>
  <sheetFormatPr defaultRowHeight="15" x14ac:dyDescent="0.25"/>
  <cols>
    <col min="1" max="1" width="6" customWidth="1"/>
    <col min="2" max="2" width="52" customWidth="1"/>
    <col min="3" max="4" width="11" customWidth="1"/>
    <col min="5" max="8" width="20" customWidth="1"/>
  </cols>
  <sheetData>
    <row r="1" spans="1:8" ht="20.25" x14ac:dyDescent="0.3">
      <c r="A1" s="1" t="s">
        <v>430</v>
      </c>
    </row>
    <row r="2" spans="1:8" x14ac:dyDescent="0.25">
      <c r="A2" s="48" t="s">
        <v>431</v>
      </c>
    </row>
    <row r="4" spans="1:8" ht="32.1" customHeight="1" x14ac:dyDescent="0.25">
      <c r="A4" s="10" t="s">
        <v>432</v>
      </c>
      <c r="B4" s="10" t="s">
        <v>433</v>
      </c>
      <c r="C4" s="10" t="s">
        <v>434</v>
      </c>
      <c r="D4" s="10" t="s">
        <v>435</v>
      </c>
      <c r="E4" s="10" t="s">
        <v>46</v>
      </c>
      <c r="F4" s="10" t="s">
        <v>50</v>
      </c>
      <c r="G4" s="10" t="s">
        <v>54</v>
      </c>
      <c r="H4" s="10" t="s">
        <v>58</v>
      </c>
    </row>
    <row r="5" spans="1:8" x14ac:dyDescent="0.25">
      <c r="A5" s="42"/>
      <c r="B5" s="43" t="s">
        <v>436</v>
      </c>
      <c r="C5" s="42"/>
      <c r="D5" s="42"/>
      <c r="E5" s="49">
        <f>'Bảng giá đề xuất'!F6</f>
        <v>5000000</v>
      </c>
      <c r="F5" s="49">
        <f>'Bảng giá đề xuất'!F7</f>
        <v>12000000</v>
      </c>
      <c r="G5" s="49">
        <f>'Bảng giá đề xuất'!F8</f>
        <v>28000000</v>
      </c>
      <c r="H5" s="49">
        <f>'Bảng giá đề xuất'!F9</f>
        <v>45000000</v>
      </c>
    </row>
    <row r="6" spans="1:8" ht="51.95" customHeight="1" x14ac:dyDescent="0.25">
      <c r="A6" s="42"/>
      <c r="B6" s="43" t="s">
        <v>437</v>
      </c>
      <c r="C6" s="42"/>
      <c r="D6" s="42"/>
      <c r="E6" s="50" t="s">
        <v>438</v>
      </c>
      <c r="F6" s="50" t="s">
        <v>439</v>
      </c>
      <c r="G6" s="50" t="s">
        <v>440</v>
      </c>
      <c r="H6" s="50" t="s">
        <v>441</v>
      </c>
    </row>
    <row r="7" spans="1:8" ht="27.95" customHeight="1" x14ac:dyDescent="0.25">
      <c r="A7" s="18">
        <v>1</v>
      </c>
      <c r="B7" s="6" t="s">
        <v>442</v>
      </c>
      <c r="C7" s="51" t="s">
        <v>243</v>
      </c>
      <c r="D7" s="51"/>
      <c r="E7" s="18" t="str">
        <f>IF(SUMPRODUCT((('Hạng mục'!$A$6:$A$76=$C7)+('Hạng mục'!$A$6:$A$76=$D7))*'Hạng mục'!$S$6:$S$76)&gt;0,"✔ Có",IF(SUMPRODUCT((('Hạng mục'!$A$6:$A$76=$C7)+('Hạng mục'!$A$6:$A$76=$D7))*'Hạng mục'!$S$6:$V$76)=0,"＋ Tùy chọn","✘ Không"))</f>
        <v>✔ Có</v>
      </c>
      <c r="F7" s="18" t="str">
        <f>IF(SUMPRODUCT((('Hạng mục'!$A$6:$A$76=$C7)+('Hạng mục'!$A$6:$A$76=$D7))*'Hạng mục'!$T$6:$T$76)&gt;0,"✔ Có",IF(SUMPRODUCT((('Hạng mục'!$A$6:$A$76=$C7)+('Hạng mục'!$A$6:$A$76=$D7))*'Hạng mục'!$S$6:$V$76)=0,"＋ Tùy chọn","✘ Không"))</f>
        <v>✘ Không</v>
      </c>
      <c r="G7" s="18" t="str">
        <f>IF(SUMPRODUCT((('Hạng mục'!$A$6:$A$76=$C7)+('Hạng mục'!$A$6:$A$76=$D7))*'Hạng mục'!$U$6:$U$76)&gt;0,"✔ Có",IF(SUMPRODUCT((('Hạng mục'!$A$6:$A$76=$C7)+('Hạng mục'!$A$6:$A$76=$D7))*'Hạng mục'!$S$6:$V$76)=0,"＋ Tùy chọn","✘ Không"))</f>
        <v>✘ Không</v>
      </c>
      <c r="H7" s="18" t="str">
        <f>IF(SUMPRODUCT((('Hạng mục'!$A$6:$A$76=$C7)+('Hạng mục'!$A$6:$A$76=$D7))*'Hạng mục'!$V$6:$V$76)&gt;0,"✔ Có",IF(SUMPRODUCT((('Hạng mục'!$A$6:$A$76=$C7)+('Hạng mục'!$A$6:$A$76=$D7))*'Hạng mục'!$S$6:$V$76)=0,"＋ Tùy chọn","✘ Không"))</f>
        <v>✘ Không</v>
      </c>
    </row>
    <row r="8" spans="1:8" ht="27.95" customHeight="1" x14ac:dyDescent="0.25">
      <c r="A8" s="18">
        <v>2</v>
      </c>
      <c r="B8" s="6" t="s">
        <v>443</v>
      </c>
      <c r="C8" s="51" t="s">
        <v>247</v>
      </c>
      <c r="D8" s="51"/>
      <c r="E8" s="18" t="str">
        <f>IF(SUMPRODUCT((('Hạng mục'!$A$6:$A$76=$C8)+('Hạng mục'!$A$6:$A$76=$D8))*'Hạng mục'!$S$6:$S$76)&gt;0,"✔ Có",IF(SUMPRODUCT((('Hạng mục'!$A$6:$A$76=$C8)+('Hạng mục'!$A$6:$A$76=$D8))*'Hạng mục'!$S$6:$V$76)=0,"＋ Tùy chọn","✘ Không"))</f>
        <v>✘ Không</v>
      </c>
      <c r="F8" s="18" t="str">
        <f>IF(SUMPRODUCT((('Hạng mục'!$A$6:$A$76=$C8)+('Hạng mục'!$A$6:$A$76=$D8))*'Hạng mục'!$T$6:$T$76)&gt;0,"✔ Có",IF(SUMPRODUCT((('Hạng mục'!$A$6:$A$76=$C8)+('Hạng mục'!$A$6:$A$76=$D8))*'Hạng mục'!$S$6:$V$76)=0,"＋ Tùy chọn","✘ Không"))</f>
        <v>✔ Có</v>
      </c>
      <c r="G8" s="18" t="str">
        <f>IF(SUMPRODUCT((('Hạng mục'!$A$6:$A$76=$C8)+('Hạng mục'!$A$6:$A$76=$D8))*'Hạng mục'!$U$6:$U$76)&gt;0,"✔ Có",IF(SUMPRODUCT((('Hạng mục'!$A$6:$A$76=$C8)+('Hạng mục'!$A$6:$A$76=$D8))*'Hạng mục'!$S$6:$V$76)=0,"＋ Tùy chọn","✘ Không"))</f>
        <v>✔ Có</v>
      </c>
      <c r="H8" s="18" t="str">
        <f>IF(SUMPRODUCT((('Hạng mục'!$A$6:$A$76=$C8)+('Hạng mục'!$A$6:$A$76=$D8))*'Hạng mục'!$V$6:$V$76)&gt;0,"✔ Có",IF(SUMPRODUCT((('Hạng mục'!$A$6:$A$76=$C8)+('Hạng mục'!$A$6:$A$76=$D8))*'Hạng mục'!$S$6:$V$76)=0,"＋ Tùy chọn","✘ Không"))</f>
        <v>✔ Có</v>
      </c>
    </row>
    <row r="9" spans="1:8" ht="27.95" customHeight="1" x14ac:dyDescent="0.25">
      <c r="A9" s="18">
        <v>3</v>
      </c>
      <c r="B9" s="6" t="s">
        <v>444</v>
      </c>
      <c r="C9" s="51" t="s">
        <v>221</v>
      </c>
      <c r="D9" s="51"/>
      <c r="E9" s="18" t="str">
        <f>IF(SUMPRODUCT((('Hạng mục'!$A$6:$A$76=$C9)+('Hạng mục'!$A$6:$A$76=$D9))*'Hạng mục'!$S$6:$S$76)&gt;0,"✔ Có",IF(SUMPRODUCT((('Hạng mục'!$A$6:$A$76=$C9)+('Hạng mục'!$A$6:$A$76=$D9))*'Hạng mục'!$S$6:$V$76)=0,"＋ Tùy chọn","✘ Không"))</f>
        <v>✔ Có</v>
      </c>
      <c r="F9" s="18" t="str">
        <f>IF(SUMPRODUCT((('Hạng mục'!$A$6:$A$76=$C9)+('Hạng mục'!$A$6:$A$76=$D9))*'Hạng mục'!$T$6:$T$76)&gt;0,"✔ Có",IF(SUMPRODUCT((('Hạng mục'!$A$6:$A$76=$C9)+('Hạng mục'!$A$6:$A$76=$D9))*'Hạng mục'!$S$6:$V$76)=0,"＋ Tùy chọn","✘ Không"))</f>
        <v>✔ Có</v>
      </c>
      <c r="G9" s="18" t="str">
        <f>IF(SUMPRODUCT((('Hạng mục'!$A$6:$A$76=$C9)+('Hạng mục'!$A$6:$A$76=$D9))*'Hạng mục'!$U$6:$U$76)&gt;0,"✔ Có",IF(SUMPRODUCT((('Hạng mục'!$A$6:$A$76=$C9)+('Hạng mục'!$A$6:$A$76=$D9))*'Hạng mục'!$S$6:$V$76)=0,"＋ Tùy chọn","✘ Không"))</f>
        <v>✔ Có</v>
      </c>
      <c r="H9" s="18" t="str">
        <f>IF(SUMPRODUCT((('Hạng mục'!$A$6:$A$76=$C9)+('Hạng mục'!$A$6:$A$76=$D9))*'Hạng mục'!$V$6:$V$76)&gt;0,"✔ Có",IF(SUMPRODUCT((('Hạng mục'!$A$6:$A$76=$C9)+('Hạng mục'!$A$6:$A$76=$D9))*'Hạng mục'!$S$6:$V$76)=0,"＋ Tùy chọn","✘ Không"))</f>
        <v>✔ Có</v>
      </c>
    </row>
    <row r="10" spans="1:8" ht="27.95" customHeight="1" x14ac:dyDescent="0.25">
      <c r="A10" s="18">
        <v>4</v>
      </c>
      <c r="B10" s="6" t="s">
        <v>445</v>
      </c>
      <c r="C10" s="51" t="s">
        <v>243</v>
      </c>
      <c r="D10" s="51" t="s">
        <v>247</v>
      </c>
      <c r="E10" s="18" t="str">
        <f>IF(SUMPRODUCT((('Hạng mục'!$A$6:$A$76=$C10)+('Hạng mục'!$A$6:$A$76=$D10))*'Hạng mục'!$S$6:$S$76)&gt;0,"✔ Có",IF(SUMPRODUCT((('Hạng mục'!$A$6:$A$76=$C10)+('Hạng mục'!$A$6:$A$76=$D10))*'Hạng mục'!$S$6:$V$76)=0,"＋ Tùy chọn","✘ Không"))</f>
        <v>✔ Có</v>
      </c>
      <c r="F10" s="18" t="str">
        <f>IF(SUMPRODUCT((('Hạng mục'!$A$6:$A$76=$C10)+('Hạng mục'!$A$6:$A$76=$D10))*'Hạng mục'!$T$6:$T$76)&gt;0,"✔ Có",IF(SUMPRODUCT((('Hạng mục'!$A$6:$A$76=$C10)+('Hạng mục'!$A$6:$A$76=$D10))*'Hạng mục'!$S$6:$V$76)=0,"＋ Tùy chọn","✘ Không"))</f>
        <v>✔ Có</v>
      </c>
      <c r="G10" s="18" t="str">
        <f>IF(SUMPRODUCT((('Hạng mục'!$A$6:$A$76=$C10)+('Hạng mục'!$A$6:$A$76=$D10))*'Hạng mục'!$U$6:$U$76)&gt;0,"✔ Có",IF(SUMPRODUCT((('Hạng mục'!$A$6:$A$76=$C10)+('Hạng mục'!$A$6:$A$76=$D10))*'Hạng mục'!$S$6:$V$76)=0,"＋ Tùy chọn","✘ Không"))</f>
        <v>✔ Có</v>
      </c>
      <c r="H10" s="18" t="str">
        <f>IF(SUMPRODUCT((('Hạng mục'!$A$6:$A$76=$C10)+('Hạng mục'!$A$6:$A$76=$D10))*'Hạng mục'!$V$6:$V$76)&gt;0,"✔ Có",IF(SUMPRODUCT((('Hạng mục'!$A$6:$A$76=$C10)+('Hạng mục'!$A$6:$A$76=$D10))*'Hạng mục'!$S$6:$V$76)=0,"＋ Tùy chọn","✘ Không"))</f>
        <v>✔ Có</v>
      </c>
    </row>
    <row r="11" spans="1:8" ht="27.95" customHeight="1" x14ac:dyDescent="0.25">
      <c r="A11" s="18">
        <v>5</v>
      </c>
      <c r="B11" s="6" t="s">
        <v>446</v>
      </c>
      <c r="C11" s="51" t="s">
        <v>228</v>
      </c>
      <c r="D11" s="51"/>
      <c r="E11" s="18" t="str">
        <f>IF(SUMPRODUCT((('Hạng mục'!$A$6:$A$76=$C11)+('Hạng mục'!$A$6:$A$76=$D11))*'Hạng mục'!$S$6:$S$76)&gt;0,"✔ Có",IF(SUMPRODUCT((('Hạng mục'!$A$6:$A$76=$C11)+('Hạng mục'!$A$6:$A$76=$D11))*'Hạng mục'!$S$6:$V$76)=0,"＋ Tùy chọn","✘ Không"))</f>
        <v>✘ Không</v>
      </c>
      <c r="F11" s="18" t="str">
        <f>IF(SUMPRODUCT((('Hạng mục'!$A$6:$A$76=$C11)+('Hạng mục'!$A$6:$A$76=$D11))*'Hạng mục'!$T$6:$T$76)&gt;0,"✔ Có",IF(SUMPRODUCT((('Hạng mục'!$A$6:$A$76=$C11)+('Hạng mục'!$A$6:$A$76=$D11))*'Hạng mục'!$S$6:$V$76)=0,"＋ Tùy chọn","✘ Không"))</f>
        <v>✔ Có</v>
      </c>
      <c r="G11" s="18" t="str">
        <f>IF(SUMPRODUCT((('Hạng mục'!$A$6:$A$76=$C11)+('Hạng mục'!$A$6:$A$76=$D11))*'Hạng mục'!$U$6:$U$76)&gt;0,"✔ Có",IF(SUMPRODUCT((('Hạng mục'!$A$6:$A$76=$C11)+('Hạng mục'!$A$6:$A$76=$D11))*'Hạng mục'!$S$6:$V$76)=0,"＋ Tùy chọn","✘ Không"))</f>
        <v>✔ Có</v>
      </c>
      <c r="H11" s="18" t="str">
        <f>IF(SUMPRODUCT((('Hạng mục'!$A$6:$A$76=$C11)+('Hạng mục'!$A$6:$A$76=$D11))*'Hạng mục'!$V$6:$V$76)&gt;0,"✔ Có",IF(SUMPRODUCT((('Hạng mục'!$A$6:$A$76=$C11)+('Hạng mục'!$A$6:$A$76=$D11))*'Hạng mục'!$S$6:$V$76)=0,"＋ Tùy chọn","✘ Không"))</f>
        <v>✔ Có</v>
      </c>
    </row>
    <row r="12" spans="1:8" ht="27.95" customHeight="1" x14ac:dyDescent="0.25">
      <c r="A12" s="18">
        <v>6</v>
      </c>
      <c r="B12" s="6" t="s">
        <v>447</v>
      </c>
      <c r="C12" s="51" t="s">
        <v>253</v>
      </c>
      <c r="D12" s="51"/>
      <c r="E12" s="18" t="str">
        <f>IF(SUMPRODUCT((('Hạng mục'!$A$6:$A$76=$C12)+('Hạng mục'!$A$6:$A$76=$D12))*'Hạng mục'!$S$6:$S$76)&gt;0,"✔ Có",IF(SUMPRODUCT((('Hạng mục'!$A$6:$A$76=$C12)+('Hạng mục'!$A$6:$A$76=$D12))*'Hạng mục'!$S$6:$V$76)=0,"＋ Tùy chọn","✘ Không"))</f>
        <v>✔ Có</v>
      </c>
      <c r="F12" s="18" t="str">
        <f>IF(SUMPRODUCT((('Hạng mục'!$A$6:$A$76=$C12)+('Hạng mục'!$A$6:$A$76=$D12))*'Hạng mục'!$T$6:$T$76)&gt;0,"✔ Có",IF(SUMPRODUCT((('Hạng mục'!$A$6:$A$76=$C12)+('Hạng mục'!$A$6:$A$76=$D12))*'Hạng mục'!$S$6:$V$76)=0,"＋ Tùy chọn","✘ Không"))</f>
        <v>✔ Có</v>
      </c>
      <c r="G12" s="18" t="str">
        <f>IF(SUMPRODUCT((('Hạng mục'!$A$6:$A$76=$C12)+('Hạng mục'!$A$6:$A$76=$D12))*'Hạng mục'!$U$6:$U$76)&gt;0,"✔ Có",IF(SUMPRODUCT((('Hạng mục'!$A$6:$A$76=$C12)+('Hạng mục'!$A$6:$A$76=$D12))*'Hạng mục'!$S$6:$V$76)=0,"＋ Tùy chọn","✘ Không"))</f>
        <v>✔ Có</v>
      </c>
      <c r="H12" s="18" t="str">
        <f>IF(SUMPRODUCT((('Hạng mục'!$A$6:$A$76=$C12)+('Hạng mục'!$A$6:$A$76=$D12))*'Hạng mục'!$V$6:$V$76)&gt;0,"✔ Có",IF(SUMPRODUCT((('Hạng mục'!$A$6:$A$76=$C12)+('Hạng mục'!$A$6:$A$76=$D12))*'Hạng mục'!$S$6:$V$76)=0,"＋ Tùy chọn","✘ Không"))</f>
        <v>✔ Có</v>
      </c>
    </row>
    <row r="13" spans="1:8" ht="27.95" customHeight="1" x14ac:dyDescent="0.25">
      <c r="A13" s="18">
        <v>7</v>
      </c>
      <c r="B13" s="6" t="s">
        <v>251</v>
      </c>
      <c r="C13" s="51" t="s">
        <v>250</v>
      </c>
      <c r="D13" s="51"/>
      <c r="E13" s="18" t="str">
        <f>IF(SUMPRODUCT((('Hạng mục'!$A$6:$A$76=$C13)+('Hạng mục'!$A$6:$A$76=$D13))*'Hạng mục'!$S$6:$S$76)&gt;0,"✔ Có",IF(SUMPRODUCT((('Hạng mục'!$A$6:$A$76=$C13)+('Hạng mục'!$A$6:$A$76=$D13))*'Hạng mục'!$S$6:$V$76)=0,"＋ Tùy chọn","✘ Không"))</f>
        <v>✔ Có</v>
      </c>
      <c r="F13" s="18" t="str">
        <f>IF(SUMPRODUCT((('Hạng mục'!$A$6:$A$76=$C13)+('Hạng mục'!$A$6:$A$76=$D13))*'Hạng mục'!$T$6:$T$76)&gt;0,"✔ Có",IF(SUMPRODUCT((('Hạng mục'!$A$6:$A$76=$C13)+('Hạng mục'!$A$6:$A$76=$D13))*'Hạng mục'!$S$6:$V$76)=0,"＋ Tùy chọn","✘ Không"))</f>
        <v>✔ Có</v>
      </c>
      <c r="G13" s="18" t="str">
        <f>IF(SUMPRODUCT((('Hạng mục'!$A$6:$A$76=$C13)+('Hạng mục'!$A$6:$A$76=$D13))*'Hạng mục'!$U$6:$U$76)&gt;0,"✔ Có",IF(SUMPRODUCT((('Hạng mục'!$A$6:$A$76=$C13)+('Hạng mục'!$A$6:$A$76=$D13))*'Hạng mục'!$S$6:$V$76)=0,"＋ Tùy chọn","✘ Không"))</f>
        <v>✔ Có</v>
      </c>
      <c r="H13" s="18" t="str">
        <f>IF(SUMPRODUCT((('Hạng mục'!$A$6:$A$76=$C13)+('Hạng mục'!$A$6:$A$76=$D13))*'Hạng mục'!$V$6:$V$76)&gt;0,"✔ Có",IF(SUMPRODUCT((('Hạng mục'!$A$6:$A$76=$C13)+('Hạng mục'!$A$6:$A$76=$D13))*'Hạng mục'!$S$6:$V$76)=0,"＋ Tùy chọn","✘ Không"))</f>
        <v>✔ Có</v>
      </c>
    </row>
    <row r="14" spans="1:8" ht="27.95" customHeight="1" x14ac:dyDescent="0.25">
      <c r="A14" s="18">
        <v>8</v>
      </c>
      <c r="B14" s="6" t="s">
        <v>448</v>
      </c>
      <c r="C14" s="51" t="s">
        <v>366</v>
      </c>
      <c r="D14" s="51"/>
      <c r="E14" s="18" t="str">
        <f>IF(SUMPRODUCT((('Hạng mục'!$A$6:$A$76=$C14)+('Hạng mục'!$A$6:$A$76=$D14))*'Hạng mục'!$S$6:$S$76)&gt;0,"✔ Có",IF(SUMPRODUCT((('Hạng mục'!$A$6:$A$76=$C14)+('Hạng mục'!$A$6:$A$76=$D14))*'Hạng mục'!$S$6:$V$76)=0,"＋ Tùy chọn","✘ Không"))</f>
        <v>✘ Không</v>
      </c>
      <c r="F14" s="18" t="str">
        <f>IF(SUMPRODUCT((('Hạng mục'!$A$6:$A$76=$C14)+('Hạng mục'!$A$6:$A$76=$D14))*'Hạng mục'!$T$6:$T$76)&gt;0,"✔ Có",IF(SUMPRODUCT((('Hạng mục'!$A$6:$A$76=$C14)+('Hạng mục'!$A$6:$A$76=$D14))*'Hạng mục'!$S$6:$V$76)=0,"＋ Tùy chọn","✘ Không"))</f>
        <v>✔ Có</v>
      </c>
      <c r="G14" s="18" t="str">
        <f>IF(SUMPRODUCT((('Hạng mục'!$A$6:$A$76=$C14)+('Hạng mục'!$A$6:$A$76=$D14))*'Hạng mục'!$U$6:$U$76)&gt;0,"✔ Có",IF(SUMPRODUCT((('Hạng mục'!$A$6:$A$76=$C14)+('Hạng mục'!$A$6:$A$76=$D14))*'Hạng mục'!$S$6:$V$76)=0,"＋ Tùy chọn","✘ Không"))</f>
        <v>✔ Có</v>
      </c>
      <c r="H14" s="18" t="str">
        <f>IF(SUMPRODUCT((('Hạng mục'!$A$6:$A$76=$C14)+('Hạng mục'!$A$6:$A$76=$D14))*'Hạng mục'!$V$6:$V$76)&gt;0,"✔ Có",IF(SUMPRODUCT((('Hạng mục'!$A$6:$A$76=$C14)+('Hạng mục'!$A$6:$A$76=$D14))*'Hạng mục'!$S$6:$V$76)=0,"＋ Tùy chọn","✘ Không"))</f>
        <v>✔ Có</v>
      </c>
    </row>
    <row r="15" spans="1:8" ht="27.95" customHeight="1" x14ac:dyDescent="0.25">
      <c r="A15" s="18">
        <v>9</v>
      </c>
      <c r="B15" s="6" t="s">
        <v>449</v>
      </c>
      <c r="C15" s="51" t="s">
        <v>399</v>
      </c>
      <c r="D15" s="51"/>
      <c r="E15" s="18" t="str">
        <f>IF(SUMPRODUCT((('Hạng mục'!$A$6:$A$76=$C15)+('Hạng mục'!$A$6:$A$76=$D15))*'Hạng mục'!$S$6:$S$76)&gt;0,"✔ Có",IF(SUMPRODUCT((('Hạng mục'!$A$6:$A$76=$C15)+('Hạng mục'!$A$6:$A$76=$D15))*'Hạng mục'!$S$6:$V$76)=0,"＋ Tùy chọn","✘ Không"))</f>
        <v>✔ Có</v>
      </c>
      <c r="F15" s="18" t="str">
        <f>IF(SUMPRODUCT((('Hạng mục'!$A$6:$A$76=$C15)+('Hạng mục'!$A$6:$A$76=$D15))*'Hạng mục'!$T$6:$T$76)&gt;0,"✔ Có",IF(SUMPRODUCT((('Hạng mục'!$A$6:$A$76=$C15)+('Hạng mục'!$A$6:$A$76=$D15))*'Hạng mục'!$S$6:$V$76)=0,"＋ Tùy chọn","✘ Không"))</f>
        <v>✔ Có</v>
      </c>
      <c r="G15" s="18" t="str">
        <f>IF(SUMPRODUCT((('Hạng mục'!$A$6:$A$76=$C15)+('Hạng mục'!$A$6:$A$76=$D15))*'Hạng mục'!$U$6:$U$76)&gt;0,"✔ Có",IF(SUMPRODUCT((('Hạng mục'!$A$6:$A$76=$C15)+('Hạng mục'!$A$6:$A$76=$D15))*'Hạng mục'!$S$6:$V$76)=0,"＋ Tùy chọn","✘ Không"))</f>
        <v>✔ Có</v>
      </c>
      <c r="H15" s="18" t="str">
        <f>IF(SUMPRODUCT((('Hạng mục'!$A$6:$A$76=$C15)+('Hạng mục'!$A$6:$A$76=$D15))*'Hạng mục'!$V$6:$V$76)&gt;0,"✔ Có",IF(SUMPRODUCT((('Hạng mục'!$A$6:$A$76=$C15)+('Hạng mục'!$A$6:$A$76=$D15))*'Hạng mục'!$S$6:$V$76)=0,"＋ Tùy chọn","✘ Không"))</f>
        <v>✔ Có</v>
      </c>
    </row>
    <row r="16" spans="1:8" ht="27.95" customHeight="1" x14ac:dyDescent="0.25">
      <c r="A16" s="18">
        <v>10</v>
      </c>
      <c r="B16" s="6" t="s">
        <v>450</v>
      </c>
      <c r="C16" s="51" t="s">
        <v>289</v>
      </c>
      <c r="D16" s="51"/>
      <c r="E16" s="18" t="str">
        <f>IF(SUMPRODUCT((('Hạng mục'!$A$6:$A$76=$C16)+('Hạng mục'!$A$6:$A$76=$D16))*'Hạng mục'!$S$6:$S$76)&gt;0,"✔ Có",IF(SUMPRODUCT((('Hạng mục'!$A$6:$A$76=$C16)+('Hạng mục'!$A$6:$A$76=$D16))*'Hạng mục'!$S$6:$V$76)=0,"＋ Tùy chọn","✘ Không"))</f>
        <v>✘ Không</v>
      </c>
      <c r="F16" s="18" t="str">
        <f>IF(SUMPRODUCT((('Hạng mục'!$A$6:$A$76=$C16)+('Hạng mục'!$A$6:$A$76=$D16))*'Hạng mục'!$T$6:$T$76)&gt;0,"✔ Có",IF(SUMPRODUCT((('Hạng mục'!$A$6:$A$76=$C16)+('Hạng mục'!$A$6:$A$76=$D16))*'Hạng mục'!$S$6:$V$76)=0,"＋ Tùy chọn","✘ Không"))</f>
        <v>✘ Không</v>
      </c>
      <c r="G16" s="18" t="str">
        <f>IF(SUMPRODUCT((('Hạng mục'!$A$6:$A$76=$C16)+('Hạng mục'!$A$6:$A$76=$D16))*'Hạng mục'!$U$6:$U$76)&gt;0,"✔ Có",IF(SUMPRODUCT((('Hạng mục'!$A$6:$A$76=$C16)+('Hạng mục'!$A$6:$A$76=$D16))*'Hạng mục'!$S$6:$V$76)=0,"＋ Tùy chọn","✘ Không"))</f>
        <v>✔ Có</v>
      </c>
      <c r="H16" s="18" t="str">
        <f>IF(SUMPRODUCT((('Hạng mục'!$A$6:$A$76=$C16)+('Hạng mục'!$A$6:$A$76=$D16))*'Hạng mục'!$V$6:$V$76)&gt;0,"✔ Có",IF(SUMPRODUCT((('Hạng mục'!$A$6:$A$76=$C16)+('Hạng mục'!$A$6:$A$76=$D16))*'Hạng mục'!$S$6:$V$76)=0,"＋ Tùy chọn","✘ Không"))</f>
        <v>✔ Có</v>
      </c>
    </row>
    <row r="17" spans="1:8" ht="27.95" customHeight="1" x14ac:dyDescent="0.25">
      <c r="A17" s="18">
        <v>11</v>
      </c>
      <c r="B17" s="6" t="s">
        <v>451</v>
      </c>
      <c r="C17" s="51" t="s">
        <v>293</v>
      </c>
      <c r="D17" s="51"/>
      <c r="E17" s="18" t="str">
        <f>IF(SUMPRODUCT((('Hạng mục'!$A$6:$A$76=$C17)+('Hạng mục'!$A$6:$A$76=$D17))*'Hạng mục'!$S$6:$S$76)&gt;0,"✔ Có",IF(SUMPRODUCT((('Hạng mục'!$A$6:$A$76=$C17)+('Hạng mục'!$A$6:$A$76=$D17))*'Hạng mục'!$S$6:$V$76)=0,"＋ Tùy chọn","✘ Không"))</f>
        <v>✘ Không</v>
      </c>
      <c r="F17" s="18" t="str">
        <f>IF(SUMPRODUCT((('Hạng mục'!$A$6:$A$76=$C17)+('Hạng mục'!$A$6:$A$76=$D17))*'Hạng mục'!$T$6:$T$76)&gt;0,"✔ Có",IF(SUMPRODUCT((('Hạng mục'!$A$6:$A$76=$C17)+('Hạng mục'!$A$6:$A$76=$D17))*'Hạng mục'!$S$6:$V$76)=0,"＋ Tùy chọn","✘ Không"))</f>
        <v>✘ Không</v>
      </c>
      <c r="G17" s="18" t="str">
        <f>IF(SUMPRODUCT((('Hạng mục'!$A$6:$A$76=$C17)+('Hạng mục'!$A$6:$A$76=$D17))*'Hạng mục'!$U$6:$U$76)&gt;0,"✔ Có",IF(SUMPRODUCT((('Hạng mục'!$A$6:$A$76=$C17)+('Hạng mục'!$A$6:$A$76=$D17))*'Hạng mục'!$S$6:$V$76)=0,"＋ Tùy chọn","✘ Không"))</f>
        <v>✔ Có</v>
      </c>
      <c r="H17" s="18" t="str">
        <f>IF(SUMPRODUCT((('Hạng mục'!$A$6:$A$76=$C17)+('Hạng mục'!$A$6:$A$76=$D17))*'Hạng mục'!$V$6:$V$76)&gt;0,"✔ Có",IF(SUMPRODUCT((('Hạng mục'!$A$6:$A$76=$C17)+('Hạng mục'!$A$6:$A$76=$D17))*'Hạng mục'!$S$6:$V$76)=0,"＋ Tùy chọn","✘ Không"))</f>
        <v>✔ Có</v>
      </c>
    </row>
    <row r="18" spans="1:8" ht="27.95" customHeight="1" x14ac:dyDescent="0.25">
      <c r="A18" s="18">
        <v>12</v>
      </c>
      <c r="B18" s="6" t="s">
        <v>297</v>
      </c>
      <c r="C18" s="51" t="s">
        <v>296</v>
      </c>
      <c r="D18" s="51"/>
      <c r="E18" s="18" t="str">
        <f>IF(SUMPRODUCT((('Hạng mục'!$A$6:$A$76=$C18)+('Hạng mục'!$A$6:$A$76=$D18))*'Hạng mục'!$S$6:$S$76)&gt;0,"✔ Có",IF(SUMPRODUCT((('Hạng mục'!$A$6:$A$76=$C18)+('Hạng mục'!$A$6:$A$76=$D18))*'Hạng mục'!$S$6:$V$76)=0,"＋ Tùy chọn","✘ Không"))</f>
        <v>✘ Không</v>
      </c>
      <c r="F18" s="18" t="str">
        <f>IF(SUMPRODUCT((('Hạng mục'!$A$6:$A$76=$C18)+('Hạng mục'!$A$6:$A$76=$D18))*'Hạng mục'!$T$6:$T$76)&gt;0,"✔ Có",IF(SUMPRODUCT((('Hạng mục'!$A$6:$A$76=$C18)+('Hạng mục'!$A$6:$A$76=$D18))*'Hạng mục'!$S$6:$V$76)=0,"＋ Tùy chọn","✘ Không"))</f>
        <v>✘ Không</v>
      </c>
      <c r="G18" s="18" t="str">
        <f>IF(SUMPRODUCT((('Hạng mục'!$A$6:$A$76=$C18)+('Hạng mục'!$A$6:$A$76=$D18))*'Hạng mục'!$U$6:$U$76)&gt;0,"✔ Có",IF(SUMPRODUCT((('Hạng mục'!$A$6:$A$76=$C18)+('Hạng mục'!$A$6:$A$76=$D18))*'Hạng mục'!$S$6:$V$76)=0,"＋ Tùy chọn","✘ Không"))</f>
        <v>✔ Có</v>
      </c>
      <c r="H18" s="18" t="str">
        <f>IF(SUMPRODUCT((('Hạng mục'!$A$6:$A$76=$C18)+('Hạng mục'!$A$6:$A$76=$D18))*'Hạng mục'!$V$6:$V$76)&gt;0,"✔ Có",IF(SUMPRODUCT((('Hạng mục'!$A$6:$A$76=$C18)+('Hạng mục'!$A$6:$A$76=$D18))*'Hạng mục'!$S$6:$V$76)=0,"＋ Tùy chọn","✘ Không"))</f>
        <v>✔ Có</v>
      </c>
    </row>
    <row r="19" spans="1:8" ht="27.95" customHeight="1" x14ac:dyDescent="0.25">
      <c r="A19" s="18">
        <v>13</v>
      </c>
      <c r="B19" s="6" t="s">
        <v>452</v>
      </c>
      <c r="C19" s="51" t="s">
        <v>299</v>
      </c>
      <c r="D19" s="51"/>
      <c r="E19" s="18" t="str">
        <f>IF(SUMPRODUCT((('Hạng mục'!$A$6:$A$76=$C19)+('Hạng mục'!$A$6:$A$76=$D19))*'Hạng mục'!$S$6:$S$76)&gt;0,"✔ Có",IF(SUMPRODUCT((('Hạng mục'!$A$6:$A$76=$C19)+('Hạng mục'!$A$6:$A$76=$D19))*'Hạng mục'!$S$6:$V$76)=0,"＋ Tùy chọn","✘ Không"))</f>
        <v>✘ Không</v>
      </c>
      <c r="F19" s="18" t="str">
        <f>IF(SUMPRODUCT((('Hạng mục'!$A$6:$A$76=$C19)+('Hạng mục'!$A$6:$A$76=$D19))*'Hạng mục'!$T$6:$T$76)&gt;0,"✔ Có",IF(SUMPRODUCT((('Hạng mục'!$A$6:$A$76=$C19)+('Hạng mục'!$A$6:$A$76=$D19))*'Hạng mục'!$S$6:$V$76)=0,"＋ Tùy chọn","✘ Không"))</f>
        <v>✘ Không</v>
      </c>
      <c r="G19" s="18" t="str">
        <f>IF(SUMPRODUCT((('Hạng mục'!$A$6:$A$76=$C19)+('Hạng mục'!$A$6:$A$76=$D19))*'Hạng mục'!$U$6:$U$76)&gt;0,"✔ Có",IF(SUMPRODUCT((('Hạng mục'!$A$6:$A$76=$C19)+('Hạng mục'!$A$6:$A$76=$D19))*'Hạng mục'!$S$6:$V$76)=0,"＋ Tùy chọn","✘ Không"))</f>
        <v>✔ Có</v>
      </c>
      <c r="H19" s="18" t="str">
        <f>IF(SUMPRODUCT((('Hạng mục'!$A$6:$A$76=$C19)+('Hạng mục'!$A$6:$A$76=$D19))*'Hạng mục'!$V$6:$V$76)&gt;0,"✔ Có",IF(SUMPRODUCT((('Hạng mục'!$A$6:$A$76=$C19)+('Hạng mục'!$A$6:$A$76=$D19))*'Hạng mục'!$S$6:$V$76)=0,"＋ Tùy chọn","✘ Không"))</f>
        <v>✔ Có</v>
      </c>
    </row>
    <row r="20" spans="1:8" ht="27.95" customHeight="1" x14ac:dyDescent="0.25">
      <c r="A20" s="18">
        <v>14</v>
      </c>
      <c r="B20" s="6" t="s">
        <v>453</v>
      </c>
      <c r="C20" s="51" t="s">
        <v>272</v>
      </c>
      <c r="D20" s="51"/>
      <c r="E20" s="18" t="str">
        <f>IF(SUMPRODUCT((('Hạng mục'!$A$6:$A$76=$C20)+('Hạng mục'!$A$6:$A$76=$D20))*'Hạng mục'!$S$6:$S$76)&gt;0,"✔ Có",IF(SUMPRODUCT((('Hạng mục'!$A$6:$A$76=$C20)+('Hạng mục'!$A$6:$A$76=$D20))*'Hạng mục'!$S$6:$V$76)=0,"＋ Tùy chọn","✘ Không"))</f>
        <v>✘ Không</v>
      </c>
      <c r="F20" s="18" t="str">
        <f>IF(SUMPRODUCT((('Hạng mục'!$A$6:$A$76=$C20)+('Hạng mục'!$A$6:$A$76=$D20))*'Hạng mục'!$T$6:$T$76)&gt;0,"✔ Có",IF(SUMPRODUCT((('Hạng mục'!$A$6:$A$76=$C20)+('Hạng mục'!$A$6:$A$76=$D20))*'Hạng mục'!$S$6:$V$76)=0,"＋ Tùy chọn","✘ Không"))</f>
        <v>✘ Không</v>
      </c>
      <c r="G20" s="18" t="str">
        <f>IF(SUMPRODUCT((('Hạng mục'!$A$6:$A$76=$C20)+('Hạng mục'!$A$6:$A$76=$D20))*'Hạng mục'!$U$6:$U$76)&gt;0,"✔ Có",IF(SUMPRODUCT((('Hạng mục'!$A$6:$A$76=$C20)+('Hạng mục'!$A$6:$A$76=$D20))*'Hạng mục'!$S$6:$V$76)=0,"＋ Tùy chọn","✘ Không"))</f>
        <v>✔ Có</v>
      </c>
      <c r="H20" s="18" t="str">
        <f>IF(SUMPRODUCT((('Hạng mục'!$A$6:$A$76=$C20)+('Hạng mục'!$A$6:$A$76=$D20))*'Hạng mục'!$V$6:$V$76)&gt;0,"✔ Có",IF(SUMPRODUCT((('Hạng mục'!$A$6:$A$76=$C20)+('Hạng mục'!$A$6:$A$76=$D20))*'Hạng mục'!$S$6:$V$76)=0,"＋ Tùy chọn","✘ Không"))</f>
        <v>✔ Có</v>
      </c>
    </row>
    <row r="21" spans="1:8" ht="27.95" customHeight="1" x14ac:dyDescent="0.25">
      <c r="A21" s="18">
        <v>15</v>
      </c>
      <c r="B21" s="6" t="s">
        <v>454</v>
      </c>
      <c r="C21" s="51" t="s">
        <v>362</v>
      </c>
      <c r="D21" s="51"/>
      <c r="E21" s="18" t="str">
        <f>IF(SUMPRODUCT((('Hạng mục'!$A$6:$A$76=$C21)+('Hạng mục'!$A$6:$A$76=$D21))*'Hạng mục'!$S$6:$S$76)&gt;0,"✔ Có",IF(SUMPRODUCT((('Hạng mục'!$A$6:$A$76=$C21)+('Hạng mục'!$A$6:$A$76=$D21))*'Hạng mục'!$S$6:$V$76)=0,"＋ Tùy chọn","✘ Không"))</f>
        <v>✘ Không</v>
      </c>
      <c r="F21" s="18" t="str">
        <f>IF(SUMPRODUCT((('Hạng mục'!$A$6:$A$76=$C21)+('Hạng mục'!$A$6:$A$76=$D21))*'Hạng mục'!$T$6:$T$76)&gt;0,"✔ Có",IF(SUMPRODUCT((('Hạng mục'!$A$6:$A$76=$C21)+('Hạng mục'!$A$6:$A$76=$D21))*'Hạng mục'!$S$6:$V$76)=0,"＋ Tùy chọn","✘ Không"))</f>
        <v>✘ Không</v>
      </c>
      <c r="G21" s="18" t="str">
        <f>IF(SUMPRODUCT((('Hạng mục'!$A$6:$A$76=$C21)+('Hạng mục'!$A$6:$A$76=$D21))*'Hạng mục'!$U$6:$U$76)&gt;0,"✔ Có",IF(SUMPRODUCT((('Hạng mục'!$A$6:$A$76=$C21)+('Hạng mục'!$A$6:$A$76=$D21))*'Hạng mục'!$S$6:$V$76)=0,"＋ Tùy chọn","✘ Không"))</f>
        <v>✘ Không</v>
      </c>
      <c r="H21" s="18" t="str">
        <f>IF(SUMPRODUCT((('Hạng mục'!$A$6:$A$76=$C21)+('Hạng mục'!$A$6:$A$76=$D21))*'Hạng mục'!$V$6:$V$76)&gt;0,"✔ Có",IF(SUMPRODUCT((('Hạng mục'!$A$6:$A$76=$C21)+('Hạng mục'!$A$6:$A$76=$D21))*'Hạng mục'!$S$6:$V$76)=0,"＋ Tùy chọn","✘ Không"))</f>
        <v>✔ Có</v>
      </c>
    </row>
    <row r="22" spans="1:8" ht="27.95" customHeight="1" x14ac:dyDescent="0.25">
      <c r="A22" s="18">
        <v>16</v>
      </c>
      <c r="B22" s="6" t="s">
        <v>455</v>
      </c>
      <c r="C22" s="51" t="s">
        <v>265</v>
      </c>
      <c r="D22" s="51"/>
      <c r="E22" s="18" t="str">
        <f>IF(SUMPRODUCT((('Hạng mục'!$A$6:$A$76=$C22)+('Hạng mục'!$A$6:$A$76=$D22))*'Hạng mục'!$S$6:$S$76)&gt;0,"✔ Có",IF(SUMPRODUCT((('Hạng mục'!$A$6:$A$76=$C22)+('Hạng mục'!$A$6:$A$76=$D22))*'Hạng mục'!$S$6:$V$76)=0,"＋ Tùy chọn","✘ Không"))</f>
        <v>✘ Không</v>
      </c>
      <c r="F22" s="18" t="str">
        <f>IF(SUMPRODUCT((('Hạng mục'!$A$6:$A$76=$C22)+('Hạng mục'!$A$6:$A$76=$D22))*'Hạng mục'!$T$6:$T$76)&gt;0,"✔ Có",IF(SUMPRODUCT((('Hạng mục'!$A$6:$A$76=$C22)+('Hạng mục'!$A$6:$A$76=$D22))*'Hạng mục'!$S$6:$V$76)=0,"＋ Tùy chọn","✘ Không"))</f>
        <v>✘ Không</v>
      </c>
      <c r="G22" s="18" t="str">
        <f>IF(SUMPRODUCT((('Hạng mục'!$A$6:$A$76=$C22)+('Hạng mục'!$A$6:$A$76=$D22))*'Hạng mục'!$U$6:$U$76)&gt;0,"✔ Có",IF(SUMPRODUCT((('Hạng mục'!$A$6:$A$76=$C22)+('Hạng mục'!$A$6:$A$76=$D22))*'Hạng mục'!$S$6:$V$76)=0,"＋ Tùy chọn","✘ Không"))</f>
        <v>✘ Không</v>
      </c>
      <c r="H22" s="18" t="str">
        <f>IF(SUMPRODUCT((('Hạng mục'!$A$6:$A$76=$C22)+('Hạng mục'!$A$6:$A$76=$D22))*'Hạng mục'!$V$6:$V$76)&gt;0,"✔ Có",IF(SUMPRODUCT((('Hạng mục'!$A$6:$A$76=$C22)+('Hạng mục'!$A$6:$A$76=$D22))*'Hạng mục'!$S$6:$V$76)=0,"＋ Tùy chọn","✘ Không"))</f>
        <v>✔ Có</v>
      </c>
    </row>
    <row r="23" spans="1:8" ht="27.95" customHeight="1" x14ac:dyDescent="0.25">
      <c r="A23" s="18">
        <v>17</v>
      </c>
      <c r="B23" s="6" t="s">
        <v>456</v>
      </c>
      <c r="C23" s="51" t="s">
        <v>369</v>
      </c>
      <c r="D23" s="51"/>
      <c r="E23" s="18" t="str">
        <f>IF(SUMPRODUCT((('Hạng mục'!$A$6:$A$76=$C23)+('Hạng mục'!$A$6:$A$76=$D23))*'Hạng mục'!$S$6:$S$76)&gt;0,"✔ Có",IF(SUMPRODUCT((('Hạng mục'!$A$6:$A$76=$C23)+('Hạng mục'!$A$6:$A$76=$D23))*'Hạng mục'!$S$6:$V$76)=0,"＋ Tùy chọn","✘ Không"))</f>
        <v>✘ Không</v>
      </c>
      <c r="F23" s="18" t="str">
        <f>IF(SUMPRODUCT((('Hạng mục'!$A$6:$A$76=$C23)+('Hạng mục'!$A$6:$A$76=$D23))*'Hạng mục'!$T$6:$T$76)&gt;0,"✔ Có",IF(SUMPRODUCT((('Hạng mục'!$A$6:$A$76=$C23)+('Hạng mục'!$A$6:$A$76=$D23))*'Hạng mục'!$S$6:$V$76)=0,"＋ Tùy chọn","✘ Không"))</f>
        <v>✘ Không</v>
      </c>
      <c r="G23" s="18" t="str">
        <f>IF(SUMPRODUCT((('Hạng mục'!$A$6:$A$76=$C23)+('Hạng mục'!$A$6:$A$76=$D23))*'Hạng mục'!$U$6:$U$76)&gt;0,"✔ Có",IF(SUMPRODUCT((('Hạng mục'!$A$6:$A$76=$C23)+('Hạng mục'!$A$6:$A$76=$D23))*'Hạng mục'!$S$6:$V$76)=0,"＋ Tùy chọn","✘ Không"))</f>
        <v>✘ Không</v>
      </c>
      <c r="H23" s="18" t="str">
        <f>IF(SUMPRODUCT((('Hạng mục'!$A$6:$A$76=$C23)+('Hạng mục'!$A$6:$A$76=$D23))*'Hạng mục'!$V$6:$V$76)&gt;0,"✔ Có",IF(SUMPRODUCT((('Hạng mục'!$A$6:$A$76=$C23)+('Hạng mục'!$A$6:$A$76=$D23))*'Hạng mục'!$S$6:$V$76)=0,"＋ Tùy chọn","✘ Không"))</f>
        <v>✔ Có</v>
      </c>
    </row>
    <row r="24" spans="1:8" ht="27.95" customHeight="1" x14ac:dyDescent="0.25">
      <c r="A24" s="18">
        <v>18</v>
      </c>
      <c r="B24" s="6" t="s">
        <v>457</v>
      </c>
      <c r="C24" s="51" t="s">
        <v>372</v>
      </c>
      <c r="D24" s="51"/>
      <c r="E24" s="18" t="str">
        <f>IF(SUMPRODUCT((('Hạng mục'!$A$6:$A$76=$C24)+('Hạng mục'!$A$6:$A$76=$D24))*'Hạng mục'!$S$6:$S$76)&gt;0,"✔ Có",IF(SUMPRODUCT((('Hạng mục'!$A$6:$A$76=$C24)+('Hạng mục'!$A$6:$A$76=$D24))*'Hạng mục'!$S$6:$V$76)=0,"＋ Tùy chọn","✘ Không"))</f>
        <v>✘ Không</v>
      </c>
      <c r="F24" s="18" t="str">
        <f>IF(SUMPRODUCT((('Hạng mục'!$A$6:$A$76=$C24)+('Hạng mục'!$A$6:$A$76=$D24))*'Hạng mục'!$T$6:$T$76)&gt;0,"✔ Có",IF(SUMPRODUCT((('Hạng mục'!$A$6:$A$76=$C24)+('Hạng mục'!$A$6:$A$76=$D24))*'Hạng mục'!$S$6:$V$76)=0,"＋ Tùy chọn","✘ Không"))</f>
        <v>✘ Không</v>
      </c>
      <c r="G24" s="18" t="str">
        <f>IF(SUMPRODUCT((('Hạng mục'!$A$6:$A$76=$C24)+('Hạng mục'!$A$6:$A$76=$D24))*'Hạng mục'!$U$6:$U$76)&gt;0,"✔ Có",IF(SUMPRODUCT((('Hạng mục'!$A$6:$A$76=$C24)+('Hạng mục'!$A$6:$A$76=$D24))*'Hạng mục'!$S$6:$V$76)=0,"＋ Tùy chọn","✘ Không"))</f>
        <v>✘ Không</v>
      </c>
      <c r="H24" s="18" t="str">
        <f>IF(SUMPRODUCT((('Hạng mục'!$A$6:$A$76=$C24)+('Hạng mục'!$A$6:$A$76=$D24))*'Hạng mục'!$V$6:$V$76)&gt;0,"✔ Có",IF(SUMPRODUCT((('Hạng mục'!$A$6:$A$76=$C24)+('Hạng mục'!$A$6:$A$76=$D24))*'Hạng mục'!$S$6:$V$76)=0,"＋ Tùy chọn","✘ Không"))</f>
        <v>✔ Có</v>
      </c>
    </row>
    <row r="25" spans="1:8" ht="27.95" customHeight="1" x14ac:dyDescent="0.25">
      <c r="A25" s="18">
        <v>19</v>
      </c>
      <c r="B25" s="6" t="s">
        <v>394</v>
      </c>
      <c r="C25" s="51" t="s">
        <v>393</v>
      </c>
      <c r="D25" s="51"/>
      <c r="E25" s="18" t="str">
        <f>IF(SUMPRODUCT((('Hạng mục'!$A$6:$A$76=$C25)+('Hạng mục'!$A$6:$A$76=$D25))*'Hạng mục'!$S$6:$S$76)&gt;0,"✔ Có",IF(SUMPRODUCT((('Hạng mục'!$A$6:$A$76=$C25)+('Hạng mục'!$A$6:$A$76=$D25))*'Hạng mục'!$S$6:$V$76)=0,"＋ Tùy chọn","✘ Không"))</f>
        <v>✘ Không</v>
      </c>
      <c r="F25" s="18" t="str">
        <f>IF(SUMPRODUCT((('Hạng mục'!$A$6:$A$76=$C25)+('Hạng mục'!$A$6:$A$76=$D25))*'Hạng mục'!$T$6:$T$76)&gt;0,"✔ Có",IF(SUMPRODUCT((('Hạng mục'!$A$6:$A$76=$C25)+('Hạng mục'!$A$6:$A$76=$D25))*'Hạng mục'!$S$6:$V$76)=0,"＋ Tùy chọn","✘ Không"))</f>
        <v>✘ Không</v>
      </c>
      <c r="G25" s="18" t="str">
        <f>IF(SUMPRODUCT((('Hạng mục'!$A$6:$A$76=$C25)+('Hạng mục'!$A$6:$A$76=$D25))*'Hạng mục'!$U$6:$U$76)&gt;0,"✔ Có",IF(SUMPRODUCT((('Hạng mục'!$A$6:$A$76=$C25)+('Hạng mục'!$A$6:$A$76=$D25))*'Hạng mục'!$S$6:$V$76)=0,"＋ Tùy chọn","✘ Không"))</f>
        <v>✘ Không</v>
      </c>
      <c r="H25" s="18" t="str">
        <f>IF(SUMPRODUCT((('Hạng mục'!$A$6:$A$76=$C25)+('Hạng mục'!$A$6:$A$76=$D25))*'Hạng mục'!$V$6:$V$76)&gt;0,"✔ Có",IF(SUMPRODUCT((('Hạng mục'!$A$6:$A$76=$C25)+('Hạng mục'!$A$6:$A$76=$D25))*'Hạng mục'!$S$6:$V$76)=0,"＋ Tùy chọn","✘ Không"))</f>
        <v>✔ Có</v>
      </c>
    </row>
    <row r="26" spans="1:8" ht="27.95" customHeight="1" x14ac:dyDescent="0.25">
      <c r="A26" s="18">
        <v>20</v>
      </c>
      <c r="B26" s="6" t="s">
        <v>413</v>
      </c>
      <c r="C26" s="51" t="s">
        <v>412</v>
      </c>
      <c r="D26" s="51"/>
      <c r="E26" s="18" t="str">
        <f>IF(SUMPRODUCT((('Hạng mục'!$A$6:$A$76=$C26)+('Hạng mục'!$A$6:$A$76=$D26))*'Hạng mục'!$S$6:$S$76)&gt;0,"✔ Có",IF(SUMPRODUCT((('Hạng mục'!$A$6:$A$76=$C26)+('Hạng mục'!$A$6:$A$76=$D26))*'Hạng mục'!$S$6:$V$76)=0,"＋ Tùy chọn","✘ Không"))</f>
        <v>✘ Không</v>
      </c>
      <c r="F26" s="18" t="str">
        <f>IF(SUMPRODUCT((('Hạng mục'!$A$6:$A$76=$C26)+('Hạng mục'!$A$6:$A$76=$D26))*'Hạng mục'!$T$6:$T$76)&gt;0,"✔ Có",IF(SUMPRODUCT((('Hạng mục'!$A$6:$A$76=$C26)+('Hạng mục'!$A$6:$A$76=$D26))*'Hạng mục'!$S$6:$V$76)=0,"＋ Tùy chọn","✘ Không"))</f>
        <v>✘ Không</v>
      </c>
      <c r="G26" s="18" t="str">
        <f>IF(SUMPRODUCT((('Hạng mục'!$A$6:$A$76=$C26)+('Hạng mục'!$A$6:$A$76=$D26))*'Hạng mục'!$U$6:$U$76)&gt;0,"✔ Có",IF(SUMPRODUCT((('Hạng mục'!$A$6:$A$76=$C26)+('Hạng mục'!$A$6:$A$76=$D26))*'Hạng mục'!$S$6:$V$76)=0,"＋ Tùy chọn","✘ Không"))</f>
        <v>✔ Có</v>
      </c>
      <c r="H26" s="18" t="str">
        <f>IF(SUMPRODUCT((('Hạng mục'!$A$6:$A$76=$C26)+('Hạng mục'!$A$6:$A$76=$D26))*'Hạng mục'!$V$6:$V$76)&gt;0,"✔ Có",IF(SUMPRODUCT((('Hạng mục'!$A$6:$A$76=$C26)+('Hạng mục'!$A$6:$A$76=$D26))*'Hạng mục'!$S$6:$V$76)=0,"＋ Tùy chọn","✘ Không"))</f>
        <v>✔ Có</v>
      </c>
    </row>
    <row r="27" spans="1:8" ht="27.95" customHeight="1" x14ac:dyDescent="0.25">
      <c r="A27" s="18">
        <v>21</v>
      </c>
      <c r="B27" s="6" t="s">
        <v>458</v>
      </c>
      <c r="C27" s="51" t="s">
        <v>415</v>
      </c>
      <c r="D27" s="51" t="s">
        <v>422</v>
      </c>
      <c r="E27" s="18" t="str">
        <f>IF(SUMPRODUCT((('Hạng mục'!$A$6:$A$76=$C27)+('Hạng mục'!$A$6:$A$76=$D27))*'Hạng mục'!$S$6:$S$76)&gt;0,"✔ Có",IF(SUMPRODUCT((('Hạng mục'!$A$6:$A$76=$C27)+('Hạng mục'!$A$6:$A$76=$D27))*'Hạng mục'!$S$6:$V$76)=0,"＋ Tùy chọn","✘ Không"))</f>
        <v>✔ Có</v>
      </c>
      <c r="F27" s="18" t="str">
        <f>IF(SUMPRODUCT((('Hạng mục'!$A$6:$A$76=$C27)+('Hạng mục'!$A$6:$A$76=$D27))*'Hạng mục'!$T$6:$T$76)&gt;0,"✔ Có",IF(SUMPRODUCT((('Hạng mục'!$A$6:$A$76=$C27)+('Hạng mục'!$A$6:$A$76=$D27))*'Hạng mục'!$S$6:$V$76)=0,"＋ Tùy chọn","✘ Không"))</f>
        <v>✔ Có</v>
      </c>
      <c r="G27" s="18" t="str">
        <f>IF(SUMPRODUCT((('Hạng mục'!$A$6:$A$76=$C27)+('Hạng mục'!$A$6:$A$76=$D27))*'Hạng mục'!$U$6:$U$76)&gt;0,"✔ Có",IF(SUMPRODUCT((('Hạng mục'!$A$6:$A$76=$C27)+('Hạng mục'!$A$6:$A$76=$D27))*'Hạng mục'!$S$6:$V$76)=0,"＋ Tùy chọn","✘ Không"))</f>
        <v>✔ Có</v>
      </c>
      <c r="H27" s="18" t="str">
        <f>IF(SUMPRODUCT((('Hạng mục'!$A$6:$A$76=$C27)+('Hạng mục'!$A$6:$A$76=$D27))*'Hạng mục'!$V$6:$V$76)&gt;0,"✔ Có",IF(SUMPRODUCT((('Hạng mục'!$A$6:$A$76=$C27)+('Hạng mục'!$A$6:$A$76=$D27))*'Hạng mục'!$S$6:$V$76)=0,"＋ Tùy chọn","✘ Không"))</f>
        <v>✔ Có</v>
      </c>
    </row>
    <row r="28" spans="1:8" ht="27.95" customHeight="1" x14ac:dyDescent="0.25">
      <c r="A28" s="18">
        <v>22</v>
      </c>
      <c r="B28" s="6" t="s">
        <v>381</v>
      </c>
      <c r="C28" s="51" t="s">
        <v>380</v>
      </c>
      <c r="D28" s="51"/>
      <c r="E28" s="18" t="str">
        <f>IF(SUMPRODUCT((('Hạng mục'!$A$6:$A$76=$C28)+('Hạng mục'!$A$6:$A$76=$D28))*'Hạng mục'!$S$6:$S$76)&gt;0,"✔ Có",IF(SUMPRODUCT((('Hạng mục'!$A$6:$A$76=$C28)+('Hạng mục'!$A$6:$A$76=$D28))*'Hạng mục'!$S$6:$V$76)=0,"＋ Tùy chọn","✘ Không"))</f>
        <v>✘ Không</v>
      </c>
      <c r="F28" s="18" t="str">
        <f>IF(SUMPRODUCT((('Hạng mục'!$A$6:$A$76=$C28)+('Hạng mục'!$A$6:$A$76=$D28))*'Hạng mục'!$T$6:$T$76)&gt;0,"✔ Có",IF(SUMPRODUCT((('Hạng mục'!$A$6:$A$76=$C28)+('Hạng mục'!$A$6:$A$76=$D28))*'Hạng mục'!$S$6:$V$76)=0,"＋ Tùy chọn","✘ Không"))</f>
        <v>✘ Không</v>
      </c>
      <c r="G28" s="18" t="str">
        <f>IF(SUMPRODUCT((('Hạng mục'!$A$6:$A$76=$C28)+('Hạng mục'!$A$6:$A$76=$D28))*'Hạng mục'!$U$6:$U$76)&gt;0,"✔ Có",IF(SUMPRODUCT((('Hạng mục'!$A$6:$A$76=$C28)+('Hạng mục'!$A$6:$A$76=$D28))*'Hạng mục'!$S$6:$V$76)=0,"＋ Tùy chọn","✘ Không"))</f>
        <v>✘ Không</v>
      </c>
      <c r="H28" s="18" t="str">
        <f>IF(SUMPRODUCT((('Hạng mục'!$A$6:$A$76=$C28)+('Hạng mục'!$A$6:$A$76=$D28))*'Hạng mục'!$V$6:$V$76)&gt;0,"✔ Có",IF(SUMPRODUCT((('Hạng mục'!$A$6:$A$76=$C28)+('Hạng mục'!$A$6:$A$76=$D28))*'Hạng mục'!$S$6:$V$76)=0,"＋ Tùy chọn","✘ Không"))</f>
        <v>✔ Có</v>
      </c>
    </row>
    <row r="30" spans="1:8" x14ac:dyDescent="0.25">
      <c r="B30" s="9" t="s">
        <v>459</v>
      </c>
    </row>
    <row r="31" spans="1:8" x14ac:dyDescent="0.25">
      <c r="A31" s="19"/>
      <c r="B31" s="21" t="s">
        <v>460</v>
      </c>
      <c r="C31" s="19"/>
      <c r="D31" s="19"/>
      <c r="E31" s="20">
        <f>'Bảng giá đề xuất'!F6</f>
        <v>5000000</v>
      </c>
      <c r="F31" s="20">
        <f>'Bảng giá đề xuất'!F7</f>
        <v>12000000</v>
      </c>
      <c r="G31" s="20">
        <f>'Bảng giá đề xuất'!F8</f>
        <v>28000000</v>
      </c>
      <c r="H31" s="20">
        <f>'Bảng giá đề xuất'!F9</f>
        <v>45000000</v>
      </c>
    </row>
    <row r="32" spans="1:8" x14ac:dyDescent="0.25">
      <c r="A32" s="19"/>
      <c r="B32" s="19" t="s">
        <v>461</v>
      </c>
      <c r="C32" s="19"/>
      <c r="D32" s="19"/>
      <c r="E32" s="16">
        <f>E31*'Thông số'!$B$16</f>
        <v>500000</v>
      </c>
      <c r="F32" s="16">
        <f>F31*'Thông số'!$B$16</f>
        <v>1200000</v>
      </c>
      <c r="G32" s="16">
        <f>G31*'Thông số'!$B$16</f>
        <v>2800000</v>
      </c>
      <c r="H32" s="16">
        <f>H31*'Thông số'!$B$16</f>
        <v>4500000</v>
      </c>
    </row>
    <row r="33" spans="1:8" x14ac:dyDescent="0.25">
      <c r="A33" s="19"/>
      <c r="B33" s="52" t="s">
        <v>462</v>
      </c>
      <c r="C33" s="19"/>
      <c r="D33" s="19"/>
      <c r="E33" s="53">
        <f>E31+E32</f>
        <v>5500000</v>
      </c>
      <c r="F33" s="53">
        <f>F31+F32</f>
        <v>13200000</v>
      </c>
      <c r="G33" s="53">
        <f>G31+G32</f>
        <v>30800000</v>
      </c>
      <c r="H33" s="53">
        <f>H31+H32</f>
        <v>49500000</v>
      </c>
    </row>
    <row r="34" spans="1:8" x14ac:dyDescent="0.25">
      <c r="A34" s="19"/>
      <c r="B34" s="19" t="s">
        <v>463</v>
      </c>
      <c r="C34" s="19"/>
      <c r="D34" s="19"/>
      <c r="E34" s="54">
        <v>1</v>
      </c>
      <c r="F34" s="54">
        <v>1</v>
      </c>
      <c r="G34" s="54">
        <v>2</v>
      </c>
      <c r="H34" s="54">
        <v>3</v>
      </c>
    </row>
    <row r="35" spans="1:8" x14ac:dyDescent="0.25">
      <c r="A35" s="19"/>
      <c r="B35" s="21" t="s">
        <v>464</v>
      </c>
      <c r="C35" s="19"/>
      <c r="D35" s="19"/>
      <c r="E35" s="55">
        <f>ROUNDUP('Bảng giá đề xuất'!H6*(1+'Thông số'!$B$14)/(E34*'Thông số'!$B$17*'Thông số'!$B$18),0)</f>
        <v>1</v>
      </c>
      <c r="F35" s="55">
        <f>ROUNDUP('Bảng giá đề xuất'!H7*(1+'Thông số'!$B$14)/(F34*'Thông số'!$B$17*'Thông số'!$B$18),0)</f>
        <v>2</v>
      </c>
      <c r="G35" s="55">
        <f>ROUNDUP('Bảng giá đề xuất'!H8*(1+'Thông số'!$B$14)/(G34*'Thông số'!$B$17*'Thông số'!$B$18),0)</f>
        <v>2</v>
      </c>
      <c r="H35" s="55">
        <f>ROUNDUP('Bảng giá đề xuất'!H9*(1+'Thông số'!$B$14)/(H34*'Thông số'!$B$17*'Thông số'!$B$18),0)</f>
        <v>3</v>
      </c>
    </row>
    <row r="36" spans="1:8" x14ac:dyDescent="0.25">
      <c r="A36" s="19"/>
      <c r="B36" s="19" t="s">
        <v>465</v>
      </c>
      <c r="C36" s="19"/>
      <c r="D36" s="19"/>
      <c r="E36" s="32" t="s">
        <v>466</v>
      </c>
      <c r="F36" s="32" t="s">
        <v>466</v>
      </c>
      <c r="G36" s="32" t="s">
        <v>467</v>
      </c>
      <c r="H36" s="32" t="s">
        <v>467</v>
      </c>
    </row>
    <row r="37" spans="1:8" x14ac:dyDescent="0.25">
      <c r="A37" s="19"/>
      <c r="B37" s="21" t="s">
        <v>468</v>
      </c>
      <c r="C37" s="19"/>
      <c r="D37" s="19"/>
      <c r="E37" s="20">
        <f>INDEX('Vận hành'!$I$24:$K$24,MATCH(E36,'Vận hành'!$I$5:$K$5,0))</f>
        <v>538333.33333333337</v>
      </c>
      <c r="F37" s="20">
        <f>INDEX('Vận hành'!$I$24:$K$24,MATCH(F36,'Vận hành'!$I$5:$K$5,0))</f>
        <v>538333.33333333337</v>
      </c>
      <c r="G37" s="20">
        <f>INDEX('Vận hành'!$I$24:$K$24,MATCH(G36,'Vận hành'!$I$5:$K$5,0))</f>
        <v>2653333.3333333335</v>
      </c>
      <c r="H37" s="20">
        <f>INDEX('Vận hành'!$I$24:$K$24,MATCH(H36,'Vận hành'!$I$5:$K$5,0))</f>
        <v>2653333.3333333335</v>
      </c>
    </row>
    <row r="39" spans="1:8" ht="44.1" customHeight="1" x14ac:dyDescent="0.25">
      <c r="A39" s="76" t="s">
        <v>469</v>
      </c>
      <c r="B39" s="77"/>
      <c r="C39" s="77"/>
      <c r="D39" s="77"/>
      <c r="E39" s="77"/>
      <c r="F39" s="77"/>
      <c r="G39" s="77"/>
      <c r="H39" s="77"/>
    </row>
  </sheetData>
  <mergeCells count="1">
    <mergeCell ref="A39:H39"/>
  </mergeCells>
  <conditionalFormatting sqref="E7:H28">
    <cfRule type="expression" dxfId="5" priority="1">
      <formula>LEFT(E7,1)="✔"</formula>
    </cfRule>
    <cfRule type="expression" dxfId="4" priority="2">
      <formula>LEFT(E7,1)="✘"</formula>
    </cfRule>
    <cfRule type="expression" dxfId="3" priority="3">
      <formula>LEFT(E7,1)="＋"</formula>
    </cfRule>
  </conditionalFormatting>
  <dataValidations count="1">
    <dataValidation type="list" sqref="E36:H36" xr:uid="{00000000-0002-0000-0400-000000000000}">
      <formula1>"Cơ bản,Tiêu chuẩn,Nâng cao"</formula1>
    </dataValidation>
  </dataValidations>
  <pageMargins left="0.75" right="0.75" top="1" bottom="1" header="0.5" footer="0.5"/>
  <pageSetup fitToHeight="0"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8B5CF6"/>
    <pageSetUpPr fitToPage="1"/>
  </sheetPr>
  <dimension ref="A1:J35"/>
  <sheetViews>
    <sheetView showGridLines="0" workbookViewId="0">
      <pane xSplit="4" ySplit="4" topLeftCell="E5" activePane="bottomRight" state="frozen"/>
      <selection pane="topRight"/>
      <selection pane="bottomLeft"/>
      <selection pane="bottomRight" activeCell="A4" sqref="A4:J28"/>
    </sheetView>
  </sheetViews>
  <sheetFormatPr defaultRowHeight="15" x14ac:dyDescent="0.25"/>
  <cols>
    <col min="1" max="1" width="6" customWidth="1"/>
    <col min="2" max="2" width="52" customWidth="1"/>
    <col min="3" max="4" width="11" customWidth="1"/>
    <col min="5" max="10" width="17" customWidth="1"/>
  </cols>
  <sheetData>
    <row r="1" spans="1:10" ht="20.25" x14ac:dyDescent="0.3">
      <c r="A1" s="1" t="s">
        <v>470</v>
      </c>
    </row>
    <row r="2" spans="1:10" x14ac:dyDescent="0.25">
      <c r="A2" s="48" t="s">
        <v>431</v>
      </c>
    </row>
    <row r="4" spans="1:10" ht="32.1" customHeight="1" x14ac:dyDescent="0.25">
      <c r="A4" s="10" t="s">
        <v>432</v>
      </c>
      <c r="B4" s="10" t="s">
        <v>433</v>
      </c>
      <c r="C4" s="10" t="s">
        <v>434</v>
      </c>
      <c r="D4" s="10" t="s">
        <v>435</v>
      </c>
      <c r="E4" s="10" t="s">
        <v>195</v>
      </c>
      <c r="F4" s="10" t="s">
        <v>196</v>
      </c>
      <c r="G4" s="10" t="s">
        <v>197</v>
      </c>
      <c r="H4" s="10" t="s">
        <v>198</v>
      </c>
      <c r="I4" s="10" t="s">
        <v>199</v>
      </c>
      <c r="J4" s="10" t="s">
        <v>200</v>
      </c>
    </row>
    <row r="5" spans="1:10" x14ac:dyDescent="0.25">
      <c r="A5" s="42"/>
      <c r="B5" s="43" t="s">
        <v>460</v>
      </c>
      <c r="C5" s="42"/>
      <c r="D5" s="42"/>
      <c r="E5" s="49">
        <f>'Tổng hợp gói'!B32</f>
        <v>5000000</v>
      </c>
      <c r="F5" s="49">
        <f>'Tổng hợp gói'!C32</f>
        <v>12000000</v>
      </c>
      <c r="G5" s="49">
        <f>'Tổng hợp gói'!D32</f>
        <v>28000000</v>
      </c>
      <c r="H5" s="49">
        <f>'Tổng hợp gói'!E32</f>
        <v>85000000</v>
      </c>
      <c r="I5" s="49">
        <f>'Tổng hợp gói'!F32</f>
        <v>160000000</v>
      </c>
      <c r="J5" s="49">
        <f>'Tổng hợp gói'!G32</f>
        <v>30000000</v>
      </c>
    </row>
    <row r="6" spans="1:10" x14ac:dyDescent="0.25">
      <c r="A6" s="42"/>
      <c r="B6" s="43" t="s">
        <v>471</v>
      </c>
      <c r="C6" s="42"/>
      <c r="D6" s="42"/>
      <c r="E6" s="56">
        <f>'Tổng hợp gói'!B31</f>
        <v>538333.33333333337</v>
      </c>
      <c r="F6" s="56">
        <f>'Tổng hợp gói'!C31</f>
        <v>538333.33333333337</v>
      </c>
      <c r="G6" s="56">
        <f>'Tổng hợp gói'!D31</f>
        <v>2653333.3333333335</v>
      </c>
      <c r="H6" s="56">
        <f>'Tổng hợp gói'!E31</f>
        <v>2653333.3333333335</v>
      </c>
      <c r="I6" s="56">
        <f>'Tổng hợp gói'!F31</f>
        <v>2653333.3333333335</v>
      </c>
      <c r="J6" s="56">
        <f>'Tổng hợp gói'!G31</f>
        <v>538333.33333333337</v>
      </c>
    </row>
    <row r="7" spans="1:10" ht="27.95" customHeight="1" x14ac:dyDescent="0.25">
      <c r="A7" s="18">
        <v>1</v>
      </c>
      <c r="B7" s="6" t="s">
        <v>472</v>
      </c>
      <c r="C7" s="51" t="s">
        <v>243</v>
      </c>
      <c r="D7" s="51"/>
      <c r="E7" s="18" t="str">
        <f>IF(SUMPRODUCT((('Hạng mục'!$A$6:$A$76=$C7)+('Hạng mục'!$A$6:$A$76=$D7))*'Hạng mục'!$I$6:$I$76)&gt;0,"✔ Có",IF(SUMPRODUCT((('Hạng mục'!$A$6:$A$76=$C7)+('Hạng mục'!$A$6:$A$76=$D7))*'Hạng mục'!$I$6:$N$76)=0,"＋ Tùy chọn","✘ Không"))</f>
        <v>✔ Có</v>
      </c>
      <c r="F7" s="18" t="str">
        <f>IF(SUMPRODUCT((('Hạng mục'!$A$6:$A$76=$C7)+('Hạng mục'!$A$6:$A$76=$D7))*'Hạng mục'!$J$6:$J$76)&gt;0,"✔ Có",IF(SUMPRODUCT((('Hạng mục'!$A$6:$A$76=$C7)+('Hạng mục'!$A$6:$A$76=$D7))*'Hạng mục'!$I$6:$N$76)=0,"＋ Tùy chọn","✘ Không"))</f>
        <v>✘ Không</v>
      </c>
      <c r="G7" s="18" t="str">
        <f>IF(SUMPRODUCT((('Hạng mục'!$A$6:$A$76=$C7)+('Hạng mục'!$A$6:$A$76=$D7))*'Hạng mục'!$K$6:$K$76)&gt;0,"✔ Có",IF(SUMPRODUCT((('Hạng mục'!$A$6:$A$76=$C7)+('Hạng mục'!$A$6:$A$76=$D7))*'Hạng mục'!$I$6:$N$76)=0,"＋ Tùy chọn","✘ Không"))</f>
        <v>✘ Không</v>
      </c>
      <c r="H7" s="18" t="str">
        <f>IF(SUMPRODUCT((('Hạng mục'!$A$6:$A$76=$C7)+('Hạng mục'!$A$6:$A$76=$D7))*'Hạng mục'!$L$6:$L$76)&gt;0,"✔ Có",IF(SUMPRODUCT((('Hạng mục'!$A$6:$A$76=$C7)+('Hạng mục'!$A$6:$A$76=$D7))*'Hạng mục'!$I$6:$N$76)=0,"＋ Tùy chọn","✘ Không"))</f>
        <v>✘ Không</v>
      </c>
      <c r="I7" s="18" t="str">
        <f>IF(SUMPRODUCT((('Hạng mục'!$A$6:$A$76=$C7)+('Hạng mục'!$A$6:$A$76=$D7))*'Hạng mục'!$M$6:$M$76)&gt;0,"✔ Có",IF(SUMPRODUCT((('Hạng mục'!$A$6:$A$76=$C7)+('Hạng mục'!$A$6:$A$76=$D7))*'Hạng mục'!$I$6:$N$76)=0,"＋ Tùy chọn","✘ Không"))</f>
        <v>✘ Không</v>
      </c>
      <c r="J7" s="18" t="str">
        <f>IF(SUMPRODUCT((('Hạng mục'!$A$6:$A$76=$C7)+('Hạng mục'!$A$6:$A$76=$D7))*'Hạng mục'!$N$6:$N$76)&gt;0,"✔ Có",IF(SUMPRODUCT((('Hạng mục'!$A$6:$A$76=$C7)+('Hạng mục'!$A$6:$A$76=$D7))*'Hạng mục'!$I$6:$N$76)=0,"＋ Tùy chọn","✘ Không"))</f>
        <v>✘ Không</v>
      </c>
    </row>
    <row r="8" spans="1:10" ht="27.95" customHeight="1" x14ac:dyDescent="0.25">
      <c r="A8" s="18">
        <v>2</v>
      </c>
      <c r="B8" s="6" t="s">
        <v>443</v>
      </c>
      <c r="C8" s="51" t="s">
        <v>247</v>
      </c>
      <c r="D8" s="51"/>
      <c r="E8" s="18" t="str">
        <f>IF(SUMPRODUCT((('Hạng mục'!$A$6:$A$76=$C8)+('Hạng mục'!$A$6:$A$76=$D8))*'Hạng mục'!$I$6:$I$76)&gt;0,"✔ Có",IF(SUMPRODUCT((('Hạng mục'!$A$6:$A$76=$C8)+('Hạng mục'!$A$6:$A$76=$D8))*'Hạng mục'!$I$6:$N$76)=0,"＋ Tùy chọn","✘ Không"))</f>
        <v>✘ Không</v>
      </c>
      <c r="F8" s="18" t="str">
        <f>IF(SUMPRODUCT((('Hạng mục'!$A$6:$A$76=$C8)+('Hạng mục'!$A$6:$A$76=$D8))*'Hạng mục'!$J$6:$J$76)&gt;0,"✔ Có",IF(SUMPRODUCT((('Hạng mục'!$A$6:$A$76=$C8)+('Hạng mục'!$A$6:$A$76=$D8))*'Hạng mục'!$I$6:$N$76)=0,"＋ Tùy chọn","✘ Không"))</f>
        <v>✔ Có</v>
      </c>
      <c r="G8" s="18" t="str">
        <f>IF(SUMPRODUCT((('Hạng mục'!$A$6:$A$76=$C8)+('Hạng mục'!$A$6:$A$76=$D8))*'Hạng mục'!$K$6:$K$76)&gt;0,"✔ Có",IF(SUMPRODUCT((('Hạng mục'!$A$6:$A$76=$C8)+('Hạng mục'!$A$6:$A$76=$D8))*'Hạng mục'!$I$6:$N$76)=0,"＋ Tùy chọn","✘ Không"))</f>
        <v>✔ Có</v>
      </c>
      <c r="H8" s="18" t="str">
        <f>IF(SUMPRODUCT((('Hạng mục'!$A$6:$A$76=$C8)+('Hạng mục'!$A$6:$A$76=$D8))*'Hạng mục'!$L$6:$L$76)&gt;0,"✔ Có",IF(SUMPRODUCT((('Hạng mục'!$A$6:$A$76=$C8)+('Hạng mục'!$A$6:$A$76=$D8))*'Hạng mục'!$I$6:$N$76)=0,"＋ Tùy chọn","✘ Không"))</f>
        <v>✘ Không</v>
      </c>
      <c r="I8" s="18" t="str">
        <f>IF(SUMPRODUCT((('Hạng mục'!$A$6:$A$76=$C8)+('Hạng mục'!$A$6:$A$76=$D8))*'Hạng mục'!$M$6:$M$76)&gt;0,"✔ Có",IF(SUMPRODUCT((('Hạng mục'!$A$6:$A$76=$C8)+('Hạng mục'!$A$6:$A$76=$D8))*'Hạng mục'!$I$6:$N$76)=0,"＋ Tùy chọn","✘ Không"))</f>
        <v>✘ Không</v>
      </c>
      <c r="J8" s="18" t="str">
        <f>IF(SUMPRODUCT((('Hạng mục'!$A$6:$A$76=$C8)+('Hạng mục'!$A$6:$A$76=$D8))*'Hạng mục'!$N$6:$N$76)&gt;0,"✔ Có",IF(SUMPRODUCT((('Hạng mục'!$A$6:$A$76=$C8)+('Hạng mục'!$A$6:$A$76=$D8))*'Hạng mục'!$I$6:$N$76)=0,"＋ Tùy chọn","✘ Không"))</f>
        <v>✘ Không</v>
      </c>
    </row>
    <row r="9" spans="1:10" ht="27.95" customHeight="1" x14ac:dyDescent="0.25">
      <c r="A9" s="18">
        <v>3</v>
      </c>
      <c r="B9" s="6" t="s">
        <v>444</v>
      </c>
      <c r="C9" s="51" t="s">
        <v>221</v>
      </c>
      <c r="D9" s="51"/>
      <c r="E9" s="18" t="str">
        <f>IF(SUMPRODUCT((('Hạng mục'!$A$6:$A$76=$C9)+('Hạng mục'!$A$6:$A$76=$D9))*'Hạng mục'!$I$6:$I$76)&gt;0,"✔ Có",IF(SUMPRODUCT((('Hạng mục'!$A$6:$A$76=$C9)+('Hạng mục'!$A$6:$A$76=$D9))*'Hạng mục'!$I$6:$N$76)=0,"＋ Tùy chọn","✘ Không"))</f>
        <v>✔ Có</v>
      </c>
      <c r="F9" s="18" t="str">
        <f>IF(SUMPRODUCT((('Hạng mục'!$A$6:$A$76=$C9)+('Hạng mục'!$A$6:$A$76=$D9))*'Hạng mục'!$J$6:$J$76)&gt;0,"✔ Có",IF(SUMPRODUCT((('Hạng mục'!$A$6:$A$76=$C9)+('Hạng mục'!$A$6:$A$76=$D9))*'Hạng mục'!$I$6:$N$76)=0,"＋ Tùy chọn","✘ Không"))</f>
        <v>✔ Có</v>
      </c>
      <c r="G9" s="18" t="str">
        <f>IF(SUMPRODUCT((('Hạng mục'!$A$6:$A$76=$C9)+('Hạng mục'!$A$6:$A$76=$D9))*'Hạng mục'!$K$6:$K$76)&gt;0,"✔ Có",IF(SUMPRODUCT((('Hạng mục'!$A$6:$A$76=$C9)+('Hạng mục'!$A$6:$A$76=$D9))*'Hạng mục'!$I$6:$N$76)=0,"＋ Tùy chọn","✘ Không"))</f>
        <v>✔ Có</v>
      </c>
      <c r="H9" s="18" t="str">
        <f>IF(SUMPRODUCT((('Hạng mục'!$A$6:$A$76=$C9)+('Hạng mục'!$A$6:$A$76=$D9))*'Hạng mục'!$L$6:$L$76)&gt;0,"✔ Có",IF(SUMPRODUCT((('Hạng mục'!$A$6:$A$76=$C9)+('Hạng mục'!$A$6:$A$76=$D9))*'Hạng mục'!$I$6:$N$76)=0,"＋ Tùy chọn","✘ Không"))</f>
        <v>✔ Có</v>
      </c>
      <c r="I9" s="18" t="str">
        <f>IF(SUMPRODUCT((('Hạng mục'!$A$6:$A$76=$C9)+('Hạng mục'!$A$6:$A$76=$D9))*'Hạng mục'!$M$6:$M$76)&gt;0,"✔ Có",IF(SUMPRODUCT((('Hạng mục'!$A$6:$A$76=$C9)+('Hạng mục'!$A$6:$A$76=$D9))*'Hạng mục'!$I$6:$N$76)=0,"＋ Tùy chọn","✘ Không"))</f>
        <v>✔ Có</v>
      </c>
      <c r="J9" s="18" t="str">
        <f>IF(SUMPRODUCT((('Hạng mục'!$A$6:$A$76=$C9)+('Hạng mục'!$A$6:$A$76=$D9))*'Hạng mục'!$N$6:$N$76)&gt;0,"✔ Có",IF(SUMPRODUCT((('Hạng mục'!$A$6:$A$76=$C9)+('Hạng mục'!$A$6:$A$76=$D9))*'Hạng mục'!$I$6:$N$76)=0,"＋ Tùy chọn","✘ Không"))</f>
        <v>✔ Có</v>
      </c>
    </row>
    <row r="10" spans="1:10" ht="27.95" customHeight="1" x14ac:dyDescent="0.25">
      <c r="A10" s="18">
        <v>4</v>
      </c>
      <c r="B10" s="6" t="s">
        <v>251</v>
      </c>
      <c r="C10" s="51" t="s">
        <v>250</v>
      </c>
      <c r="D10" s="51"/>
      <c r="E10" s="18" t="str">
        <f>IF(SUMPRODUCT((('Hạng mục'!$A$6:$A$76=$C10)+('Hạng mục'!$A$6:$A$76=$D10))*'Hạng mục'!$I$6:$I$76)&gt;0,"✔ Có",IF(SUMPRODUCT((('Hạng mục'!$A$6:$A$76=$C10)+('Hạng mục'!$A$6:$A$76=$D10))*'Hạng mục'!$I$6:$N$76)=0,"＋ Tùy chọn","✘ Không"))</f>
        <v>✔ Có</v>
      </c>
      <c r="F10" s="18" t="str">
        <f>IF(SUMPRODUCT((('Hạng mục'!$A$6:$A$76=$C10)+('Hạng mục'!$A$6:$A$76=$D10))*'Hạng mục'!$J$6:$J$76)&gt;0,"✔ Có",IF(SUMPRODUCT((('Hạng mục'!$A$6:$A$76=$C10)+('Hạng mục'!$A$6:$A$76=$D10))*'Hạng mục'!$I$6:$N$76)=0,"＋ Tùy chọn","✘ Không"))</f>
        <v>✔ Có</v>
      </c>
      <c r="G10" s="18" t="str">
        <f>IF(SUMPRODUCT((('Hạng mục'!$A$6:$A$76=$C10)+('Hạng mục'!$A$6:$A$76=$D10))*'Hạng mục'!$K$6:$K$76)&gt;0,"✔ Có",IF(SUMPRODUCT((('Hạng mục'!$A$6:$A$76=$C10)+('Hạng mục'!$A$6:$A$76=$D10))*'Hạng mục'!$I$6:$N$76)=0,"＋ Tùy chọn","✘ Không"))</f>
        <v>✔ Có</v>
      </c>
      <c r="H10" s="18" t="str">
        <f>IF(SUMPRODUCT((('Hạng mục'!$A$6:$A$76=$C10)+('Hạng mục'!$A$6:$A$76=$D10))*'Hạng mục'!$L$6:$L$76)&gt;0,"✔ Có",IF(SUMPRODUCT((('Hạng mục'!$A$6:$A$76=$C10)+('Hạng mục'!$A$6:$A$76=$D10))*'Hạng mục'!$I$6:$N$76)=0,"＋ Tùy chọn","✘ Không"))</f>
        <v>✘ Không</v>
      </c>
      <c r="I10" s="18" t="str">
        <f>IF(SUMPRODUCT((('Hạng mục'!$A$6:$A$76=$C10)+('Hạng mục'!$A$6:$A$76=$D10))*'Hạng mục'!$M$6:$M$76)&gt;0,"✔ Có",IF(SUMPRODUCT((('Hạng mục'!$A$6:$A$76=$C10)+('Hạng mục'!$A$6:$A$76=$D10))*'Hạng mục'!$I$6:$N$76)=0,"＋ Tùy chọn","✘ Không"))</f>
        <v>✘ Không</v>
      </c>
      <c r="J10" s="18" t="str">
        <f>IF(SUMPRODUCT((('Hạng mục'!$A$6:$A$76=$C10)+('Hạng mục'!$A$6:$A$76=$D10))*'Hạng mục'!$N$6:$N$76)&gt;0,"✔ Có",IF(SUMPRODUCT((('Hạng mục'!$A$6:$A$76=$C10)+('Hạng mục'!$A$6:$A$76=$D10))*'Hạng mục'!$I$6:$N$76)=0,"＋ Tùy chọn","✘ Không"))</f>
        <v>✘ Không</v>
      </c>
    </row>
    <row r="11" spans="1:10" ht="27.95" customHeight="1" x14ac:dyDescent="0.25">
      <c r="A11" s="18">
        <v>5</v>
      </c>
      <c r="B11" s="6" t="s">
        <v>473</v>
      </c>
      <c r="C11" s="51" t="s">
        <v>253</v>
      </c>
      <c r="D11" s="51"/>
      <c r="E11" s="18" t="str">
        <f>IF(SUMPRODUCT((('Hạng mục'!$A$6:$A$76=$C11)+('Hạng mục'!$A$6:$A$76=$D11))*'Hạng mục'!$I$6:$I$76)&gt;0,"✔ Có",IF(SUMPRODUCT((('Hạng mục'!$A$6:$A$76=$C11)+('Hạng mục'!$A$6:$A$76=$D11))*'Hạng mục'!$I$6:$N$76)=0,"＋ Tùy chọn","✘ Không"))</f>
        <v>✔ Có</v>
      </c>
      <c r="F11" s="18" t="str">
        <f>IF(SUMPRODUCT((('Hạng mục'!$A$6:$A$76=$C11)+('Hạng mục'!$A$6:$A$76=$D11))*'Hạng mục'!$J$6:$J$76)&gt;0,"✔ Có",IF(SUMPRODUCT((('Hạng mục'!$A$6:$A$76=$C11)+('Hạng mục'!$A$6:$A$76=$D11))*'Hạng mục'!$I$6:$N$76)=0,"＋ Tùy chọn","✘ Không"))</f>
        <v>✔ Có</v>
      </c>
      <c r="G11" s="18" t="str">
        <f>IF(SUMPRODUCT((('Hạng mục'!$A$6:$A$76=$C11)+('Hạng mục'!$A$6:$A$76=$D11))*'Hạng mục'!$K$6:$K$76)&gt;0,"✔ Có",IF(SUMPRODUCT((('Hạng mục'!$A$6:$A$76=$C11)+('Hạng mục'!$A$6:$A$76=$D11))*'Hạng mục'!$I$6:$N$76)=0,"＋ Tùy chọn","✘ Không"))</f>
        <v>✔ Có</v>
      </c>
      <c r="H11" s="18" t="str">
        <f>IF(SUMPRODUCT((('Hạng mục'!$A$6:$A$76=$C11)+('Hạng mục'!$A$6:$A$76=$D11))*'Hạng mục'!$L$6:$L$76)&gt;0,"✔ Có",IF(SUMPRODUCT((('Hạng mục'!$A$6:$A$76=$C11)+('Hạng mục'!$A$6:$A$76=$D11))*'Hạng mục'!$I$6:$N$76)=0,"＋ Tùy chọn","✘ Không"))</f>
        <v>✔ Có</v>
      </c>
      <c r="I11" s="18" t="str">
        <f>IF(SUMPRODUCT((('Hạng mục'!$A$6:$A$76=$C11)+('Hạng mục'!$A$6:$A$76=$D11))*'Hạng mục'!$M$6:$M$76)&gt;0,"✔ Có",IF(SUMPRODUCT((('Hạng mục'!$A$6:$A$76=$C11)+('Hạng mục'!$A$6:$A$76=$D11))*'Hạng mục'!$I$6:$N$76)=0,"＋ Tùy chọn","✘ Không"))</f>
        <v>✘ Không</v>
      </c>
      <c r="J11" s="18" t="str">
        <f>IF(SUMPRODUCT((('Hạng mục'!$A$6:$A$76=$C11)+('Hạng mục'!$A$6:$A$76=$D11))*'Hạng mục'!$N$6:$N$76)&gt;0,"✔ Có",IF(SUMPRODUCT((('Hạng mục'!$A$6:$A$76=$C11)+('Hạng mục'!$A$6:$A$76=$D11))*'Hạng mục'!$I$6:$N$76)=0,"＋ Tùy chọn","✘ Không"))</f>
        <v>✘ Không</v>
      </c>
    </row>
    <row r="12" spans="1:10" ht="27.95" customHeight="1" x14ac:dyDescent="0.25">
      <c r="A12" s="18">
        <v>6</v>
      </c>
      <c r="B12" s="6" t="s">
        <v>474</v>
      </c>
      <c r="C12" s="51" t="s">
        <v>366</v>
      </c>
      <c r="D12" s="51"/>
      <c r="E12" s="18" t="str">
        <f>IF(SUMPRODUCT((('Hạng mục'!$A$6:$A$76=$C12)+('Hạng mục'!$A$6:$A$76=$D12))*'Hạng mục'!$I$6:$I$76)&gt;0,"✔ Có",IF(SUMPRODUCT((('Hạng mục'!$A$6:$A$76=$C12)+('Hạng mục'!$A$6:$A$76=$D12))*'Hạng mục'!$I$6:$N$76)=0,"＋ Tùy chọn","✘ Không"))</f>
        <v>✔ Có</v>
      </c>
      <c r="F12" s="18" t="str">
        <f>IF(SUMPRODUCT((('Hạng mục'!$A$6:$A$76=$C12)+('Hạng mục'!$A$6:$A$76=$D12))*'Hạng mục'!$J$6:$J$76)&gt;0,"✔ Có",IF(SUMPRODUCT((('Hạng mục'!$A$6:$A$76=$C12)+('Hạng mục'!$A$6:$A$76=$D12))*'Hạng mục'!$I$6:$N$76)=0,"＋ Tùy chọn","✘ Không"))</f>
        <v>✔ Có</v>
      </c>
      <c r="G12" s="18" t="str">
        <f>IF(SUMPRODUCT((('Hạng mục'!$A$6:$A$76=$C12)+('Hạng mục'!$A$6:$A$76=$D12))*'Hạng mục'!$K$6:$K$76)&gt;0,"✔ Có",IF(SUMPRODUCT((('Hạng mục'!$A$6:$A$76=$C12)+('Hạng mục'!$A$6:$A$76=$D12))*'Hạng mục'!$I$6:$N$76)=0,"＋ Tùy chọn","✘ Không"))</f>
        <v>✔ Có</v>
      </c>
      <c r="H12" s="18" t="str">
        <f>IF(SUMPRODUCT((('Hạng mục'!$A$6:$A$76=$C12)+('Hạng mục'!$A$6:$A$76=$D12))*'Hạng mục'!$L$6:$L$76)&gt;0,"✔ Có",IF(SUMPRODUCT((('Hạng mục'!$A$6:$A$76=$C12)+('Hạng mục'!$A$6:$A$76=$D12))*'Hạng mục'!$I$6:$N$76)=0,"＋ Tùy chọn","✘ Không"))</f>
        <v>✘ Không</v>
      </c>
      <c r="I12" s="18" t="str">
        <f>IF(SUMPRODUCT((('Hạng mục'!$A$6:$A$76=$C12)+('Hạng mục'!$A$6:$A$76=$D12))*'Hạng mục'!$M$6:$M$76)&gt;0,"✔ Có",IF(SUMPRODUCT((('Hạng mục'!$A$6:$A$76=$C12)+('Hạng mục'!$A$6:$A$76=$D12))*'Hạng mục'!$I$6:$N$76)=0,"＋ Tùy chọn","✘ Không"))</f>
        <v>✘ Không</v>
      </c>
      <c r="J12" s="18" t="str">
        <f>IF(SUMPRODUCT((('Hạng mục'!$A$6:$A$76=$C12)+('Hạng mục'!$A$6:$A$76=$D12))*'Hạng mục'!$N$6:$N$76)&gt;0,"✔ Có",IF(SUMPRODUCT((('Hạng mục'!$A$6:$A$76=$C12)+('Hạng mục'!$A$6:$A$76=$D12))*'Hạng mục'!$I$6:$N$76)=0,"＋ Tùy chọn","✘ Không"))</f>
        <v>✘ Không</v>
      </c>
    </row>
    <row r="13" spans="1:10" ht="27.95" customHeight="1" x14ac:dyDescent="0.25">
      <c r="A13" s="18">
        <v>7</v>
      </c>
      <c r="B13" s="6" t="s">
        <v>450</v>
      </c>
      <c r="C13" s="51" t="s">
        <v>289</v>
      </c>
      <c r="D13" s="51"/>
      <c r="E13" s="18" t="str">
        <f>IF(SUMPRODUCT((('Hạng mục'!$A$6:$A$76=$C13)+('Hạng mục'!$A$6:$A$76=$D13))*'Hạng mục'!$I$6:$I$76)&gt;0,"✔ Có",IF(SUMPRODUCT((('Hạng mục'!$A$6:$A$76=$C13)+('Hạng mục'!$A$6:$A$76=$D13))*'Hạng mục'!$I$6:$N$76)=0,"＋ Tùy chọn","✘ Không"))</f>
        <v>✘ Không</v>
      </c>
      <c r="F13" s="18" t="str">
        <f>IF(SUMPRODUCT((('Hạng mục'!$A$6:$A$76=$C13)+('Hạng mục'!$A$6:$A$76=$D13))*'Hạng mục'!$J$6:$J$76)&gt;0,"✔ Có",IF(SUMPRODUCT((('Hạng mục'!$A$6:$A$76=$C13)+('Hạng mục'!$A$6:$A$76=$D13))*'Hạng mục'!$I$6:$N$76)=0,"＋ Tùy chọn","✘ Không"))</f>
        <v>✘ Không</v>
      </c>
      <c r="G13" s="18" t="str">
        <f>IF(SUMPRODUCT((('Hạng mục'!$A$6:$A$76=$C13)+('Hạng mục'!$A$6:$A$76=$D13))*'Hạng mục'!$K$6:$K$76)&gt;0,"✔ Có",IF(SUMPRODUCT((('Hạng mục'!$A$6:$A$76=$C13)+('Hạng mục'!$A$6:$A$76=$D13))*'Hạng mục'!$I$6:$N$76)=0,"＋ Tùy chọn","✘ Không"))</f>
        <v>✔ Có</v>
      </c>
      <c r="H13" s="18" t="str">
        <f>IF(SUMPRODUCT((('Hạng mục'!$A$6:$A$76=$C13)+('Hạng mục'!$A$6:$A$76=$D13))*'Hạng mục'!$L$6:$L$76)&gt;0,"✔ Có",IF(SUMPRODUCT((('Hạng mục'!$A$6:$A$76=$C13)+('Hạng mục'!$A$6:$A$76=$D13))*'Hạng mục'!$I$6:$N$76)=0,"＋ Tùy chọn","✘ Không"))</f>
        <v>✘ Không</v>
      </c>
      <c r="I13" s="18" t="str">
        <f>IF(SUMPRODUCT((('Hạng mục'!$A$6:$A$76=$C13)+('Hạng mục'!$A$6:$A$76=$D13))*'Hạng mục'!$M$6:$M$76)&gt;0,"✔ Có",IF(SUMPRODUCT((('Hạng mục'!$A$6:$A$76=$C13)+('Hạng mục'!$A$6:$A$76=$D13))*'Hạng mục'!$I$6:$N$76)=0,"＋ Tùy chọn","✘ Không"))</f>
        <v>✘ Không</v>
      </c>
      <c r="J13" s="18" t="str">
        <f>IF(SUMPRODUCT((('Hạng mục'!$A$6:$A$76=$C13)+('Hạng mục'!$A$6:$A$76=$D13))*'Hạng mục'!$N$6:$N$76)&gt;0,"✔ Có",IF(SUMPRODUCT((('Hạng mục'!$A$6:$A$76=$C13)+('Hạng mục'!$A$6:$A$76=$D13))*'Hạng mục'!$I$6:$N$76)=0,"＋ Tùy chọn","✘ Không"))</f>
        <v>✘ Không</v>
      </c>
    </row>
    <row r="14" spans="1:10" ht="27.95" customHeight="1" x14ac:dyDescent="0.25">
      <c r="A14" s="18">
        <v>8</v>
      </c>
      <c r="B14" s="6" t="s">
        <v>475</v>
      </c>
      <c r="C14" s="51" t="s">
        <v>293</v>
      </c>
      <c r="D14" s="51"/>
      <c r="E14" s="18" t="str">
        <f>IF(SUMPRODUCT((('Hạng mục'!$A$6:$A$76=$C14)+('Hạng mục'!$A$6:$A$76=$D14))*'Hạng mục'!$I$6:$I$76)&gt;0,"✔ Có",IF(SUMPRODUCT((('Hạng mục'!$A$6:$A$76=$C14)+('Hạng mục'!$A$6:$A$76=$D14))*'Hạng mục'!$I$6:$N$76)=0,"＋ Tùy chọn","✘ Không"))</f>
        <v>✘ Không</v>
      </c>
      <c r="F14" s="18" t="str">
        <f>IF(SUMPRODUCT((('Hạng mục'!$A$6:$A$76=$C14)+('Hạng mục'!$A$6:$A$76=$D14))*'Hạng mục'!$J$6:$J$76)&gt;0,"✔ Có",IF(SUMPRODUCT((('Hạng mục'!$A$6:$A$76=$C14)+('Hạng mục'!$A$6:$A$76=$D14))*'Hạng mục'!$I$6:$N$76)=0,"＋ Tùy chọn","✘ Không"))</f>
        <v>✘ Không</v>
      </c>
      <c r="G14" s="18" t="str">
        <f>IF(SUMPRODUCT((('Hạng mục'!$A$6:$A$76=$C14)+('Hạng mục'!$A$6:$A$76=$D14))*'Hạng mục'!$K$6:$K$76)&gt;0,"✔ Có",IF(SUMPRODUCT((('Hạng mục'!$A$6:$A$76=$C14)+('Hạng mục'!$A$6:$A$76=$D14))*'Hạng mục'!$I$6:$N$76)=0,"＋ Tùy chọn","✘ Không"))</f>
        <v>✔ Có</v>
      </c>
      <c r="H14" s="18" t="str">
        <f>IF(SUMPRODUCT((('Hạng mục'!$A$6:$A$76=$C14)+('Hạng mục'!$A$6:$A$76=$D14))*'Hạng mục'!$L$6:$L$76)&gt;0,"✔ Có",IF(SUMPRODUCT((('Hạng mục'!$A$6:$A$76=$C14)+('Hạng mục'!$A$6:$A$76=$D14))*'Hạng mục'!$I$6:$N$76)=0,"＋ Tùy chọn","✘ Không"))</f>
        <v>✘ Không</v>
      </c>
      <c r="I14" s="18" t="str">
        <f>IF(SUMPRODUCT((('Hạng mục'!$A$6:$A$76=$C14)+('Hạng mục'!$A$6:$A$76=$D14))*'Hạng mục'!$M$6:$M$76)&gt;0,"✔ Có",IF(SUMPRODUCT((('Hạng mục'!$A$6:$A$76=$C14)+('Hạng mục'!$A$6:$A$76=$D14))*'Hạng mục'!$I$6:$N$76)=0,"＋ Tùy chọn","✘ Không"))</f>
        <v>✘ Không</v>
      </c>
      <c r="J14" s="18" t="str">
        <f>IF(SUMPRODUCT((('Hạng mục'!$A$6:$A$76=$C14)+('Hạng mục'!$A$6:$A$76=$D14))*'Hạng mục'!$N$6:$N$76)&gt;0,"✔ Có",IF(SUMPRODUCT((('Hạng mục'!$A$6:$A$76=$C14)+('Hạng mục'!$A$6:$A$76=$D14))*'Hạng mục'!$I$6:$N$76)=0,"＋ Tùy chọn","✘ Không"))</f>
        <v>✘ Không</v>
      </c>
    </row>
    <row r="15" spans="1:10" ht="27.95" customHeight="1" x14ac:dyDescent="0.25">
      <c r="A15" s="18">
        <v>9</v>
      </c>
      <c r="B15" s="6" t="s">
        <v>297</v>
      </c>
      <c r="C15" s="51" t="s">
        <v>296</v>
      </c>
      <c r="D15" s="51"/>
      <c r="E15" s="18" t="str">
        <f>IF(SUMPRODUCT((('Hạng mục'!$A$6:$A$76=$C15)+('Hạng mục'!$A$6:$A$76=$D15))*'Hạng mục'!$I$6:$I$76)&gt;0,"✔ Có",IF(SUMPRODUCT((('Hạng mục'!$A$6:$A$76=$C15)+('Hạng mục'!$A$6:$A$76=$D15))*'Hạng mục'!$I$6:$N$76)=0,"＋ Tùy chọn","✘ Không"))</f>
        <v>✘ Không</v>
      </c>
      <c r="F15" s="18" t="str">
        <f>IF(SUMPRODUCT((('Hạng mục'!$A$6:$A$76=$C15)+('Hạng mục'!$A$6:$A$76=$D15))*'Hạng mục'!$J$6:$J$76)&gt;0,"✔ Có",IF(SUMPRODUCT((('Hạng mục'!$A$6:$A$76=$C15)+('Hạng mục'!$A$6:$A$76=$D15))*'Hạng mục'!$I$6:$N$76)=0,"＋ Tùy chọn","✘ Không"))</f>
        <v>✘ Không</v>
      </c>
      <c r="G15" s="18" t="str">
        <f>IF(SUMPRODUCT((('Hạng mục'!$A$6:$A$76=$C15)+('Hạng mục'!$A$6:$A$76=$D15))*'Hạng mục'!$K$6:$K$76)&gt;0,"✔ Có",IF(SUMPRODUCT((('Hạng mục'!$A$6:$A$76=$C15)+('Hạng mục'!$A$6:$A$76=$D15))*'Hạng mục'!$I$6:$N$76)=0,"＋ Tùy chọn","✘ Không"))</f>
        <v>✔ Có</v>
      </c>
      <c r="H15" s="18" t="str">
        <f>IF(SUMPRODUCT((('Hạng mục'!$A$6:$A$76=$C15)+('Hạng mục'!$A$6:$A$76=$D15))*'Hạng mục'!$L$6:$L$76)&gt;0,"✔ Có",IF(SUMPRODUCT((('Hạng mục'!$A$6:$A$76=$C15)+('Hạng mục'!$A$6:$A$76=$D15))*'Hạng mục'!$I$6:$N$76)=0,"＋ Tùy chọn","✘ Không"))</f>
        <v>✘ Không</v>
      </c>
      <c r="I15" s="18" t="str">
        <f>IF(SUMPRODUCT((('Hạng mục'!$A$6:$A$76=$C15)+('Hạng mục'!$A$6:$A$76=$D15))*'Hạng mục'!$M$6:$M$76)&gt;0,"✔ Có",IF(SUMPRODUCT((('Hạng mục'!$A$6:$A$76=$C15)+('Hạng mục'!$A$6:$A$76=$D15))*'Hạng mục'!$I$6:$N$76)=0,"＋ Tùy chọn","✘ Không"))</f>
        <v>✘ Không</v>
      </c>
      <c r="J15" s="18" t="str">
        <f>IF(SUMPRODUCT((('Hạng mục'!$A$6:$A$76=$C15)+('Hạng mục'!$A$6:$A$76=$D15))*'Hạng mục'!$N$6:$N$76)&gt;0,"✔ Có",IF(SUMPRODUCT((('Hạng mục'!$A$6:$A$76=$C15)+('Hạng mục'!$A$6:$A$76=$D15))*'Hạng mục'!$I$6:$N$76)=0,"＋ Tùy chọn","✘ Không"))</f>
        <v>✘ Không</v>
      </c>
    </row>
    <row r="16" spans="1:10" ht="27.95" customHeight="1" x14ac:dyDescent="0.25">
      <c r="A16" s="18">
        <v>10</v>
      </c>
      <c r="B16" s="6" t="s">
        <v>452</v>
      </c>
      <c r="C16" s="51" t="s">
        <v>299</v>
      </c>
      <c r="D16" s="51"/>
      <c r="E16" s="18" t="str">
        <f>IF(SUMPRODUCT((('Hạng mục'!$A$6:$A$76=$C16)+('Hạng mục'!$A$6:$A$76=$D16))*'Hạng mục'!$I$6:$I$76)&gt;0,"✔ Có",IF(SUMPRODUCT((('Hạng mục'!$A$6:$A$76=$C16)+('Hạng mục'!$A$6:$A$76=$D16))*'Hạng mục'!$I$6:$N$76)=0,"＋ Tùy chọn","✘ Không"))</f>
        <v>✘ Không</v>
      </c>
      <c r="F16" s="18" t="str">
        <f>IF(SUMPRODUCT((('Hạng mục'!$A$6:$A$76=$C16)+('Hạng mục'!$A$6:$A$76=$D16))*'Hạng mục'!$J$6:$J$76)&gt;0,"✔ Có",IF(SUMPRODUCT((('Hạng mục'!$A$6:$A$76=$C16)+('Hạng mục'!$A$6:$A$76=$D16))*'Hạng mục'!$I$6:$N$76)=0,"＋ Tùy chọn","✘ Không"))</f>
        <v>✘ Không</v>
      </c>
      <c r="G16" s="18" t="str">
        <f>IF(SUMPRODUCT((('Hạng mục'!$A$6:$A$76=$C16)+('Hạng mục'!$A$6:$A$76=$D16))*'Hạng mục'!$K$6:$K$76)&gt;0,"✔ Có",IF(SUMPRODUCT((('Hạng mục'!$A$6:$A$76=$C16)+('Hạng mục'!$A$6:$A$76=$D16))*'Hạng mục'!$I$6:$N$76)=0,"＋ Tùy chọn","✘ Không"))</f>
        <v>✔ Có</v>
      </c>
      <c r="H16" s="18" t="str">
        <f>IF(SUMPRODUCT((('Hạng mục'!$A$6:$A$76=$C16)+('Hạng mục'!$A$6:$A$76=$D16))*'Hạng mục'!$L$6:$L$76)&gt;0,"✔ Có",IF(SUMPRODUCT((('Hạng mục'!$A$6:$A$76=$C16)+('Hạng mục'!$A$6:$A$76=$D16))*'Hạng mục'!$I$6:$N$76)=0,"＋ Tùy chọn","✘ Không"))</f>
        <v>✘ Không</v>
      </c>
      <c r="I16" s="18" t="str">
        <f>IF(SUMPRODUCT((('Hạng mục'!$A$6:$A$76=$C16)+('Hạng mục'!$A$6:$A$76=$D16))*'Hạng mục'!$M$6:$M$76)&gt;0,"✔ Có",IF(SUMPRODUCT((('Hạng mục'!$A$6:$A$76=$C16)+('Hạng mục'!$A$6:$A$76=$D16))*'Hạng mục'!$I$6:$N$76)=0,"＋ Tùy chọn","✘ Không"))</f>
        <v>✘ Không</v>
      </c>
      <c r="J16" s="18" t="str">
        <f>IF(SUMPRODUCT((('Hạng mục'!$A$6:$A$76=$C16)+('Hạng mục'!$A$6:$A$76=$D16))*'Hạng mục'!$N$6:$N$76)&gt;0,"✔ Có",IF(SUMPRODUCT((('Hạng mục'!$A$6:$A$76=$C16)+('Hạng mục'!$A$6:$A$76=$D16))*'Hạng mục'!$I$6:$N$76)=0,"＋ Tùy chọn","✘ Không"))</f>
        <v>✘ Không</v>
      </c>
    </row>
    <row r="17" spans="1:10" ht="27.95" customHeight="1" x14ac:dyDescent="0.25">
      <c r="A17" s="18">
        <v>11</v>
      </c>
      <c r="B17" s="6" t="s">
        <v>476</v>
      </c>
      <c r="C17" s="51" t="s">
        <v>272</v>
      </c>
      <c r="D17" s="51"/>
      <c r="E17" s="18" t="str">
        <f>IF(SUMPRODUCT((('Hạng mục'!$A$6:$A$76=$C17)+('Hạng mục'!$A$6:$A$76=$D17))*'Hạng mục'!$I$6:$I$76)&gt;0,"✔ Có",IF(SUMPRODUCT((('Hạng mục'!$A$6:$A$76=$C17)+('Hạng mục'!$A$6:$A$76=$D17))*'Hạng mục'!$I$6:$N$76)=0,"＋ Tùy chọn","✘ Không"))</f>
        <v>✘ Không</v>
      </c>
      <c r="F17" s="18" t="str">
        <f>IF(SUMPRODUCT((('Hạng mục'!$A$6:$A$76=$C17)+('Hạng mục'!$A$6:$A$76=$D17))*'Hạng mục'!$J$6:$J$76)&gt;0,"✔ Có",IF(SUMPRODUCT((('Hạng mục'!$A$6:$A$76=$C17)+('Hạng mục'!$A$6:$A$76=$D17))*'Hạng mục'!$I$6:$N$76)=0,"＋ Tùy chọn","✘ Không"))</f>
        <v>✘ Không</v>
      </c>
      <c r="G17" s="18" t="str">
        <f>IF(SUMPRODUCT((('Hạng mục'!$A$6:$A$76=$C17)+('Hạng mục'!$A$6:$A$76=$D17))*'Hạng mục'!$K$6:$K$76)&gt;0,"✔ Có",IF(SUMPRODUCT((('Hạng mục'!$A$6:$A$76=$C17)+('Hạng mục'!$A$6:$A$76=$D17))*'Hạng mục'!$I$6:$N$76)=0,"＋ Tùy chọn","✘ Không"))</f>
        <v>✔ Có</v>
      </c>
      <c r="H17" s="18" t="str">
        <f>IF(SUMPRODUCT((('Hạng mục'!$A$6:$A$76=$C17)+('Hạng mục'!$A$6:$A$76=$D17))*'Hạng mục'!$L$6:$L$76)&gt;0,"✔ Có",IF(SUMPRODUCT((('Hạng mục'!$A$6:$A$76=$C17)+('Hạng mục'!$A$6:$A$76=$D17))*'Hạng mục'!$I$6:$N$76)=0,"＋ Tùy chọn","✘ Không"))</f>
        <v>✔ Có</v>
      </c>
      <c r="I17" s="18" t="str">
        <f>IF(SUMPRODUCT((('Hạng mục'!$A$6:$A$76=$C17)+('Hạng mục'!$A$6:$A$76=$D17))*'Hạng mục'!$M$6:$M$76)&gt;0,"✔ Có",IF(SUMPRODUCT((('Hạng mục'!$A$6:$A$76=$C17)+('Hạng mục'!$A$6:$A$76=$D17))*'Hạng mục'!$I$6:$N$76)=0,"＋ Tùy chọn","✘ Không"))</f>
        <v>✔ Có</v>
      </c>
      <c r="J17" s="18" t="str">
        <f>IF(SUMPRODUCT((('Hạng mục'!$A$6:$A$76=$C17)+('Hạng mục'!$A$6:$A$76=$D17))*'Hạng mục'!$N$6:$N$76)&gt;0,"✔ Có",IF(SUMPRODUCT((('Hạng mục'!$A$6:$A$76=$C17)+('Hạng mục'!$A$6:$A$76=$D17))*'Hạng mục'!$I$6:$N$76)=0,"＋ Tùy chọn","✘ Không"))</f>
        <v>✘ Không</v>
      </c>
    </row>
    <row r="18" spans="1:10" ht="27.95" customHeight="1" x14ac:dyDescent="0.25">
      <c r="A18" s="18">
        <v>12</v>
      </c>
      <c r="B18" s="6" t="s">
        <v>304</v>
      </c>
      <c r="C18" s="51" t="s">
        <v>302</v>
      </c>
      <c r="D18" s="51"/>
      <c r="E18" s="18" t="str">
        <f>IF(SUMPRODUCT((('Hạng mục'!$A$6:$A$76=$C18)+('Hạng mục'!$A$6:$A$76=$D18))*'Hạng mục'!$I$6:$I$76)&gt;0,"✔ Có",IF(SUMPRODUCT((('Hạng mục'!$A$6:$A$76=$C18)+('Hạng mục'!$A$6:$A$76=$D18))*'Hạng mục'!$I$6:$N$76)=0,"＋ Tùy chọn","✘ Không"))</f>
        <v>✘ Không</v>
      </c>
      <c r="F18" s="18" t="str">
        <f>IF(SUMPRODUCT((('Hạng mục'!$A$6:$A$76=$C18)+('Hạng mục'!$A$6:$A$76=$D18))*'Hạng mục'!$J$6:$J$76)&gt;0,"✔ Có",IF(SUMPRODUCT((('Hạng mục'!$A$6:$A$76=$C18)+('Hạng mục'!$A$6:$A$76=$D18))*'Hạng mục'!$I$6:$N$76)=0,"＋ Tùy chọn","✘ Không"))</f>
        <v>✘ Không</v>
      </c>
      <c r="G18" s="18" t="str">
        <f>IF(SUMPRODUCT((('Hạng mục'!$A$6:$A$76=$C18)+('Hạng mục'!$A$6:$A$76=$D18))*'Hạng mục'!$K$6:$K$76)&gt;0,"✔ Có",IF(SUMPRODUCT((('Hạng mục'!$A$6:$A$76=$C18)+('Hạng mục'!$A$6:$A$76=$D18))*'Hạng mục'!$I$6:$N$76)=0,"＋ Tùy chọn","✘ Không"))</f>
        <v>✘ Không</v>
      </c>
      <c r="H18" s="18" t="str">
        <f>IF(SUMPRODUCT((('Hạng mục'!$A$6:$A$76=$C18)+('Hạng mục'!$A$6:$A$76=$D18))*'Hạng mục'!$L$6:$L$76)&gt;0,"✔ Có",IF(SUMPRODUCT((('Hạng mục'!$A$6:$A$76=$C18)+('Hạng mục'!$A$6:$A$76=$D18))*'Hạng mục'!$I$6:$N$76)=0,"＋ Tùy chọn","✘ Không"))</f>
        <v>✔ Có</v>
      </c>
      <c r="I18" s="18" t="str">
        <f>IF(SUMPRODUCT((('Hạng mục'!$A$6:$A$76=$C18)+('Hạng mục'!$A$6:$A$76=$D18))*'Hạng mục'!$M$6:$M$76)&gt;0,"✔ Có",IF(SUMPRODUCT((('Hạng mục'!$A$6:$A$76=$C18)+('Hạng mục'!$A$6:$A$76=$D18))*'Hạng mục'!$I$6:$N$76)=0,"＋ Tùy chọn","✘ Không"))</f>
        <v>✘ Không</v>
      </c>
      <c r="J18" s="18" t="str">
        <f>IF(SUMPRODUCT((('Hạng mục'!$A$6:$A$76=$C18)+('Hạng mục'!$A$6:$A$76=$D18))*'Hạng mục'!$N$6:$N$76)&gt;0,"✔ Có",IF(SUMPRODUCT((('Hạng mục'!$A$6:$A$76=$C18)+('Hạng mục'!$A$6:$A$76=$D18))*'Hạng mục'!$I$6:$N$76)=0,"＋ Tùy chọn","✘ Không"))</f>
        <v>✘ Không</v>
      </c>
    </row>
    <row r="19" spans="1:10" ht="27.95" customHeight="1" x14ac:dyDescent="0.25">
      <c r="A19" s="18">
        <v>13</v>
      </c>
      <c r="B19" s="6" t="s">
        <v>307</v>
      </c>
      <c r="C19" s="51" t="s">
        <v>306</v>
      </c>
      <c r="D19" s="51"/>
      <c r="E19" s="18" t="str">
        <f>IF(SUMPRODUCT((('Hạng mục'!$A$6:$A$76=$C19)+('Hạng mục'!$A$6:$A$76=$D19))*'Hạng mục'!$I$6:$I$76)&gt;0,"✔ Có",IF(SUMPRODUCT((('Hạng mục'!$A$6:$A$76=$C19)+('Hạng mục'!$A$6:$A$76=$D19))*'Hạng mục'!$I$6:$N$76)=0,"＋ Tùy chọn","✘ Không"))</f>
        <v>✘ Không</v>
      </c>
      <c r="F19" s="18" t="str">
        <f>IF(SUMPRODUCT((('Hạng mục'!$A$6:$A$76=$C19)+('Hạng mục'!$A$6:$A$76=$D19))*'Hạng mục'!$J$6:$J$76)&gt;0,"✔ Có",IF(SUMPRODUCT((('Hạng mục'!$A$6:$A$76=$C19)+('Hạng mục'!$A$6:$A$76=$D19))*'Hạng mục'!$I$6:$N$76)=0,"＋ Tùy chọn","✘ Không"))</f>
        <v>✘ Không</v>
      </c>
      <c r="G19" s="18" t="str">
        <f>IF(SUMPRODUCT((('Hạng mục'!$A$6:$A$76=$C19)+('Hạng mục'!$A$6:$A$76=$D19))*'Hạng mục'!$K$6:$K$76)&gt;0,"✔ Có",IF(SUMPRODUCT((('Hạng mục'!$A$6:$A$76=$C19)+('Hạng mục'!$A$6:$A$76=$D19))*'Hạng mục'!$I$6:$N$76)=0,"＋ Tùy chọn","✘ Không"))</f>
        <v>✘ Không</v>
      </c>
      <c r="H19" s="18" t="str">
        <f>IF(SUMPRODUCT((('Hạng mục'!$A$6:$A$76=$C19)+('Hạng mục'!$A$6:$A$76=$D19))*'Hạng mục'!$L$6:$L$76)&gt;0,"✔ Có",IF(SUMPRODUCT((('Hạng mục'!$A$6:$A$76=$C19)+('Hạng mục'!$A$6:$A$76=$D19))*'Hạng mục'!$I$6:$N$76)=0,"＋ Tùy chọn","✘ Không"))</f>
        <v>✔ Có</v>
      </c>
      <c r="I19" s="18" t="str">
        <f>IF(SUMPRODUCT((('Hạng mục'!$A$6:$A$76=$C19)+('Hạng mục'!$A$6:$A$76=$D19))*'Hạng mục'!$M$6:$M$76)&gt;0,"✔ Có",IF(SUMPRODUCT((('Hạng mục'!$A$6:$A$76=$C19)+('Hạng mục'!$A$6:$A$76=$D19))*'Hạng mục'!$I$6:$N$76)=0,"＋ Tùy chọn","✘ Không"))</f>
        <v>✘ Không</v>
      </c>
      <c r="J19" s="18" t="str">
        <f>IF(SUMPRODUCT((('Hạng mục'!$A$6:$A$76=$C19)+('Hạng mục'!$A$6:$A$76=$D19))*'Hạng mục'!$N$6:$N$76)&gt;0,"✔ Có",IF(SUMPRODUCT((('Hạng mục'!$A$6:$A$76=$C19)+('Hạng mục'!$A$6:$A$76=$D19))*'Hạng mục'!$I$6:$N$76)=0,"＋ Tùy chọn","✘ Không"))</f>
        <v>✘ Không</v>
      </c>
    </row>
    <row r="20" spans="1:10" ht="27.95" customHeight="1" x14ac:dyDescent="0.25">
      <c r="A20" s="18">
        <v>14</v>
      </c>
      <c r="B20" s="6" t="s">
        <v>477</v>
      </c>
      <c r="C20" s="51" t="s">
        <v>312</v>
      </c>
      <c r="D20" s="51"/>
      <c r="E20" s="18" t="str">
        <f>IF(SUMPRODUCT((('Hạng mục'!$A$6:$A$76=$C20)+('Hạng mục'!$A$6:$A$76=$D20))*'Hạng mục'!$I$6:$I$76)&gt;0,"✔ Có",IF(SUMPRODUCT((('Hạng mục'!$A$6:$A$76=$C20)+('Hạng mục'!$A$6:$A$76=$D20))*'Hạng mục'!$I$6:$N$76)=0,"＋ Tùy chọn","✘ Không"))</f>
        <v>✘ Không</v>
      </c>
      <c r="F20" s="18" t="str">
        <f>IF(SUMPRODUCT((('Hạng mục'!$A$6:$A$76=$C20)+('Hạng mục'!$A$6:$A$76=$D20))*'Hạng mục'!$J$6:$J$76)&gt;0,"✔ Có",IF(SUMPRODUCT((('Hạng mục'!$A$6:$A$76=$C20)+('Hạng mục'!$A$6:$A$76=$D20))*'Hạng mục'!$I$6:$N$76)=0,"＋ Tùy chọn","✘ Không"))</f>
        <v>✘ Không</v>
      </c>
      <c r="G20" s="18" t="str">
        <f>IF(SUMPRODUCT((('Hạng mục'!$A$6:$A$76=$C20)+('Hạng mục'!$A$6:$A$76=$D20))*'Hạng mục'!$K$6:$K$76)&gt;0,"✔ Có",IF(SUMPRODUCT((('Hạng mục'!$A$6:$A$76=$C20)+('Hạng mục'!$A$6:$A$76=$D20))*'Hạng mục'!$I$6:$N$76)=0,"＋ Tùy chọn","✘ Không"))</f>
        <v>✘ Không</v>
      </c>
      <c r="H20" s="18" t="str">
        <f>IF(SUMPRODUCT((('Hạng mục'!$A$6:$A$76=$C20)+('Hạng mục'!$A$6:$A$76=$D20))*'Hạng mục'!$L$6:$L$76)&gt;0,"✔ Có",IF(SUMPRODUCT((('Hạng mục'!$A$6:$A$76=$C20)+('Hạng mục'!$A$6:$A$76=$D20))*'Hạng mục'!$I$6:$N$76)=0,"＋ Tùy chọn","✘ Không"))</f>
        <v>✔ Có</v>
      </c>
      <c r="I20" s="18" t="str">
        <f>IF(SUMPRODUCT((('Hạng mục'!$A$6:$A$76=$C20)+('Hạng mục'!$A$6:$A$76=$D20))*'Hạng mục'!$M$6:$M$76)&gt;0,"✔ Có",IF(SUMPRODUCT((('Hạng mục'!$A$6:$A$76=$C20)+('Hạng mục'!$A$6:$A$76=$D20))*'Hạng mục'!$I$6:$N$76)=0,"＋ Tùy chọn","✘ Không"))</f>
        <v>✘ Không</v>
      </c>
      <c r="J20" s="18" t="str">
        <f>IF(SUMPRODUCT((('Hạng mục'!$A$6:$A$76=$C20)+('Hạng mục'!$A$6:$A$76=$D20))*'Hạng mục'!$N$6:$N$76)&gt;0,"✔ Có",IF(SUMPRODUCT((('Hạng mục'!$A$6:$A$76=$C20)+('Hạng mục'!$A$6:$A$76=$D20))*'Hạng mục'!$I$6:$N$76)=0,"＋ Tùy chọn","✘ Không"))</f>
        <v>✘ Không</v>
      </c>
    </row>
    <row r="21" spans="1:10" ht="27.95" customHeight="1" x14ac:dyDescent="0.25">
      <c r="A21" s="18">
        <v>15</v>
      </c>
      <c r="B21" s="6" t="s">
        <v>478</v>
      </c>
      <c r="C21" s="51" t="s">
        <v>343</v>
      </c>
      <c r="D21" s="51" t="s">
        <v>315</v>
      </c>
      <c r="E21" s="18" t="str">
        <f>IF(SUMPRODUCT((('Hạng mục'!$A$6:$A$76=$C21)+('Hạng mục'!$A$6:$A$76=$D21))*'Hạng mục'!$I$6:$I$76)&gt;0,"✔ Có",IF(SUMPRODUCT((('Hạng mục'!$A$6:$A$76=$C21)+('Hạng mục'!$A$6:$A$76=$D21))*'Hạng mục'!$I$6:$N$76)=0,"＋ Tùy chọn","✘ Không"))</f>
        <v>✘ Không</v>
      </c>
      <c r="F21" s="18" t="str">
        <f>IF(SUMPRODUCT((('Hạng mục'!$A$6:$A$76=$C21)+('Hạng mục'!$A$6:$A$76=$D21))*'Hạng mục'!$J$6:$J$76)&gt;0,"✔ Có",IF(SUMPRODUCT((('Hạng mục'!$A$6:$A$76=$C21)+('Hạng mục'!$A$6:$A$76=$D21))*'Hạng mục'!$I$6:$N$76)=0,"＋ Tùy chọn","✘ Không"))</f>
        <v>✘ Không</v>
      </c>
      <c r="G21" s="18" t="str">
        <f>IF(SUMPRODUCT((('Hạng mục'!$A$6:$A$76=$C21)+('Hạng mục'!$A$6:$A$76=$D21))*'Hạng mục'!$K$6:$K$76)&gt;0,"✔ Có",IF(SUMPRODUCT((('Hạng mục'!$A$6:$A$76=$C21)+('Hạng mục'!$A$6:$A$76=$D21))*'Hạng mục'!$I$6:$N$76)=0,"＋ Tùy chọn","✘ Không"))</f>
        <v>✘ Không</v>
      </c>
      <c r="H21" s="18" t="str">
        <f>IF(SUMPRODUCT((('Hạng mục'!$A$6:$A$76=$C21)+('Hạng mục'!$A$6:$A$76=$D21))*'Hạng mục'!$L$6:$L$76)&gt;0,"✔ Có",IF(SUMPRODUCT((('Hạng mục'!$A$6:$A$76=$C21)+('Hạng mục'!$A$6:$A$76=$D21))*'Hạng mục'!$I$6:$N$76)=0,"＋ Tùy chọn","✘ Không"))</f>
        <v>✔ Có</v>
      </c>
      <c r="I21" s="18" t="str">
        <f>IF(SUMPRODUCT((('Hạng mục'!$A$6:$A$76=$C21)+('Hạng mục'!$A$6:$A$76=$D21))*'Hạng mục'!$M$6:$M$76)&gt;0,"✔ Có",IF(SUMPRODUCT((('Hạng mục'!$A$6:$A$76=$C21)+('Hạng mục'!$A$6:$A$76=$D21))*'Hạng mục'!$I$6:$N$76)=0,"＋ Tùy chọn","✘ Không"))</f>
        <v>✔ Có</v>
      </c>
      <c r="J21" s="18" t="str">
        <f>IF(SUMPRODUCT((('Hạng mục'!$A$6:$A$76=$C21)+('Hạng mục'!$A$6:$A$76=$D21))*'Hạng mục'!$N$6:$N$76)&gt;0,"✔ Có",IF(SUMPRODUCT((('Hạng mục'!$A$6:$A$76=$C21)+('Hạng mục'!$A$6:$A$76=$D21))*'Hạng mục'!$I$6:$N$76)=0,"＋ Tùy chọn","✘ Không"))</f>
        <v>✘ Không</v>
      </c>
    </row>
    <row r="22" spans="1:10" ht="27.95" customHeight="1" x14ac:dyDescent="0.25">
      <c r="A22" s="18">
        <v>16</v>
      </c>
      <c r="B22" s="6" t="s">
        <v>285</v>
      </c>
      <c r="C22" s="51" t="s">
        <v>284</v>
      </c>
      <c r="D22" s="51"/>
      <c r="E22" s="18" t="str">
        <f>IF(SUMPRODUCT((('Hạng mục'!$A$6:$A$76=$C22)+('Hạng mục'!$A$6:$A$76=$D22))*'Hạng mục'!$I$6:$I$76)&gt;0,"✔ Có",IF(SUMPRODUCT((('Hạng mục'!$A$6:$A$76=$C22)+('Hạng mục'!$A$6:$A$76=$D22))*'Hạng mục'!$I$6:$N$76)=0,"＋ Tùy chọn","✘ Không"))</f>
        <v>✘ Không</v>
      </c>
      <c r="F22" s="18" t="str">
        <f>IF(SUMPRODUCT((('Hạng mục'!$A$6:$A$76=$C22)+('Hạng mục'!$A$6:$A$76=$D22))*'Hạng mục'!$J$6:$J$76)&gt;0,"✔ Có",IF(SUMPRODUCT((('Hạng mục'!$A$6:$A$76=$C22)+('Hạng mục'!$A$6:$A$76=$D22))*'Hạng mục'!$I$6:$N$76)=0,"＋ Tùy chọn","✘ Không"))</f>
        <v>✘ Không</v>
      </c>
      <c r="G22" s="18" t="str">
        <f>IF(SUMPRODUCT((('Hạng mục'!$A$6:$A$76=$C22)+('Hạng mục'!$A$6:$A$76=$D22))*'Hạng mục'!$K$6:$K$76)&gt;0,"✔ Có",IF(SUMPRODUCT((('Hạng mục'!$A$6:$A$76=$C22)+('Hạng mục'!$A$6:$A$76=$D22))*'Hạng mục'!$I$6:$N$76)=0,"＋ Tùy chọn","✘ Không"))</f>
        <v>✘ Không</v>
      </c>
      <c r="H22" s="18" t="str">
        <f>IF(SUMPRODUCT((('Hạng mục'!$A$6:$A$76=$C22)+('Hạng mục'!$A$6:$A$76=$D22))*'Hạng mục'!$L$6:$L$76)&gt;0,"✔ Có",IF(SUMPRODUCT((('Hạng mục'!$A$6:$A$76=$C22)+('Hạng mục'!$A$6:$A$76=$D22))*'Hạng mục'!$I$6:$N$76)=0,"＋ Tùy chọn","✘ Không"))</f>
        <v>✔ Có</v>
      </c>
      <c r="I22" s="18" t="str">
        <f>IF(SUMPRODUCT((('Hạng mục'!$A$6:$A$76=$C22)+('Hạng mục'!$A$6:$A$76=$D22))*'Hạng mục'!$M$6:$M$76)&gt;0,"✔ Có",IF(SUMPRODUCT((('Hạng mục'!$A$6:$A$76=$C22)+('Hạng mục'!$A$6:$A$76=$D22))*'Hạng mục'!$I$6:$N$76)=0,"＋ Tùy chọn","✘ Không"))</f>
        <v>✔ Có</v>
      </c>
      <c r="J22" s="18" t="str">
        <f>IF(SUMPRODUCT((('Hạng mục'!$A$6:$A$76=$C22)+('Hạng mục'!$A$6:$A$76=$D22))*'Hạng mục'!$N$6:$N$76)&gt;0,"✔ Có",IF(SUMPRODUCT((('Hạng mục'!$A$6:$A$76=$C22)+('Hạng mục'!$A$6:$A$76=$D22))*'Hạng mục'!$I$6:$N$76)=0,"＋ Tùy chọn","✘ Không"))</f>
        <v>✘ Không</v>
      </c>
    </row>
    <row r="23" spans="1:10" ht="27.95" customHeight="1" x14ac:dyDescent="0.25">
      <c r="A23" s="18">
        <v>17</v>
      </c>
      <c r="B23" s="6" t="s">
        <v>479</v>
      </c>
      <c r="C23" s="51" t="s">
        <v>362</v>
      </c>
      <c r="D23" s="51"/>
      <c r="E23" s="18" t="str">
        <f>IF(SUMPRODUCT((('Hạng mục'!$A$6:$A$76=$C23)+('Hạng mục'!$A$6:$A$76=$D23))*'Hạng mục'!$I$6:$I$76)&gt;0,"✔ Có",IF(SUMPRODUCT((('Hạng mục'!$A$6:$A$76=$C23)+('Hạng mục'!$A$6:$A$76=$D23))*'Hạng mục'!$I$6:$N$76)=0,"＋ Tùy chọn","✘ Không"))</f>
        <v>✘ Không</v>
      </c>
      <c r="F23" s="18" t="str">
        <f>IF(SUMPRODUCT((('Hạng mục'!$A$6:$A$76=$C23)+('Hạng mục'!$A$6:$A$76=$D23))*'Hạng mục'!$J$6:$J$76)&gt;0,"✔ Có",IF(SUMPRODUCT((('Hạng mục'!$A$6:$A$76=$C23)+('Hạng mục'!$A$6:$A$76=$D23))*'Hạng mục'!$I$6:$N$76)=0,"＋ Tùy chọn","✘ Không"))</f>
        <v>✘ Không</v>
      </c>
      <c r="G23" s="18" t="str">
        <f>IF(SUMPRODUCT((('Hạng mục'!$A$6:$A$76=$C23)+('Hạng mục'!$A$6:$A$76=$D23))*'Hạng mục'!$K$6:$K$76)&gt;0,"✔ Có",IF(SUMPRODUCT((('Hạng mục'!$A$6:$A$76=$C23)+('Hạng mục'!$A$6:$A$76=$D23))*'Hạng mục'!$I$6:$N$76)=0,"＋ Tùy chọn","✘ Không"))</f>
        <v>✘ Không</v>
      </c>
      <c r="H23" s="18" t="str">
        <f>IF(SUMPRODUCT((('Hạng mục'!$A$6:$A$76=$C23)+('Hạng mục'!$A$6:$A$76=$D23))*'Hạng mục'!$L$6:$L$76)&gt;0,"✔ Có",IF(SUMPRODUCT((('Hạng mục'!$A$6:$A$76=$C23)+('Hạng mục'!$A$6:$A$76=$D23))*'Hạng mục'!$I$6:$N$76)=0,"＋ Tùy chọn","✘ Không"))</f>
        <v>✔ Có</v>
      </c>
      <c r="I23" s="18" t="str">
        <f>IF(SUMPRODUCT((('Hạng mục'!$A$6:$A$76=$C23)+('Hạng mục'!$A$6:$A$76=$D23))*'Hạng mục'!$M$6:$M$76)&gt;0,"✔ Có",IF(SUMPRODUCT((('Hạng mục'!$A$6:$A$76=$C23)+('Hạng mục'!$A$6:$A$76=$D23))*'Hạng mục'!$I$6:$N$76)=0,"＋ Tùy chọn","✘ Không"))</f>
        <v>✔ Có</v>
      </c>
      <c r="J23" s="18" t="str">
        <f>IF(SUMPRODUCT((('Hạng mục'!$A$6:$A$76=$C23)+('Hạng mục'!$A$6:$A$76=$D23))*'Hạng mục'!$N$6:$N$76)&gt;0,"✔ Có",IF(SUMPRODUCT((('Hạng mục'!$A$6:$A$76=$C23)+('Hạng mục'!$A$6:$A$76=$D23))*'Hạng mục'!$I$6:$N$76)=0,"＋ Tùy chọn","✘ Không"))</f>
        <v>✘ Không</v>
      </c>
    </row>
    <row r="24" spans="1:10" ht="27.95" customHeight="1" x14ac:dyDescent="0.25">
      <c r="A24" s="18">
        <v>18</v>
      </c>
      <c r="B24" s="6" t="s">
        <v>480</v>
      </c>
      <c r="C24" s="51" t="s">
        <v>262</v>
      </c>
      <c r="D24" s="51"/>
      <c r="E24" s="18" t="str">
        <f>IF(SUMPRODUCT((('Hạng mục'!$A$6:$A$76=$C24)+('Hạng mục'!$A$6:$A$76=$D24))*'Hạng mục'!$I$6:$I$76)&gt;0,"✔ Có",IF(SUMPRODUCT((('Hạng mục'!$A$6:$A$76=$C24)+('Hạng mục'!$A$6:$A$76=$D24))*'Hạng mục'!$I$6:$N$76)=0,"＋ Tùy chọn","✘ Không"))</f>
        <v>✘ Không</v>
      </c>
      <c r="F24" s="18" t="str">
        <f>IF(SUMPRODUCT((('Hạng mục'!$A$6:$A$76=$C24)+('Hạng mục'!$A$6:$A$76=$D24))*'Hạng mục'!$J$6:$J$76)&gt;0,"✔ Có",IF(SUMPRODUCT((('Hạng mục'!$A$6:$A$76=$C24)+('Hạng mục'!$A$6:$A$76=$D24))*'Hạng mục'!$I$6:$N$76)=0,"＋ Tùy chọn","✘ Không"))</f>
        <v>✘ Không</v>
      </c>
      <c r="G24" s="18" t="str">
        <f>IF(SUMPRODUCT((('Hạng mục'!$A$6:$A$76=$C24)+('Hạng mục'!$A$6:$A$76=$D24))*'Hạng mục'!$K$6:$K$76)&gt;0,"✔ Có",IF(SUMPRODUCT((('Hạng mục'!$A$6:$A$76=$C24)+('Hạng mục'!$A$6:$A$76=$D24))*'Hạng mục'!$I$6:$N$76)=0,"＋ Tùy chọn","✘ Không"))</f>
        <v>✘ Không</v>
      </c>
      <c r="H24" s="18" t="str">
        <f>IF(SUMPRODUCT((('Hạng mục'!$A$6:$A$76=$C24)+('Hạng mục'!$A$6:$A$76=$D24))*'Hạng mục'!$L$6:$L$76)&gt;0,"✔ Có",IF(SUMPRODUCT((('Hạng mục'!$A$6:$A$76=$C24)+('Hạng mục'!$A$6:$A$76=$D24))*'Hạng mục'!$I$6:$N$76)=0,"＋ Tùy chọn","✘ Không"))</f>
        <v>✘ Không</v>
      </c>
      <c r="I24" s="18" t="str">
        <f>IF(SUMPRODUCT((('Hạng mục'!$A$6:$A$76=$C24)+('Hạng mục'!$A$6:$A$76=$D24))*'Hạng mục'!$M$6:$M$76)&gt;0,"✔ Có",IF(SUMPRODUCT((('Hạng mục'!$A$6:$A$76=$C24)+('Hạng mục'!$A$6:$A$76=$D24))*'Hạng mục'!$I$6:$N$76)=0,"＋ Tùy chọn","✘ Không"))</f>
        <v>✘ Không</v>
      </c>
      <c r="J24" s="18" t="str">
        <f>IF(SUMPRODUCT((('Hạng mục'!$A$6:$A$76=$C24)+('Hạng mục'!$A$6:$A$76=$D24))*'Hạng mục'!$N$6:$N$76)&gt;0,"✔ Có",IF(SUMPRODUCT((('Hạng mục'!$A$6:$A$76=$C24)+('Hạng mục'!$A$6:$A$76=$D24))*'Hạng mục'!$I$6:$N$76)=0,"＋ Tùy chọn","✘ Không"))</f>
        <v>✔ Có</v>
      </c>
    </row>
    <row r="25" spans="1:10" ht="27.95" customHeight="1" x14ac:dyDescent="0.25">
      <c r="A25" s="18">
        <v>19</v>
      </c>
      <c r="B25" s="6" t="s">
        <v>481</v>
      </c>
      <c r="C25" s="51" t="s">
        <v>286</v>
      </c>
      <c r="D25" s="51"/>
      <c r="E25" s="18" t="str">
        <f>IF(SUMPRODUCT((('Hạng mục'!$A$6:$A$76=$C25)+('Hạng mục'!$A$6:$A$76=$D25))*'Hạng mục'!$I$6:$I$76)&gt;0,"✔ Có",IF(SUMPRODUCT((('Hạng mục'!$A$6:$A$76=$C25)+('Hạng mục'!$A$6:$A$76=$D25))*'Hạng mục'!$I$6:$N$76)=0,"＋ Tùy chọn","✘ Không"))</f>
        <v>✘ Không</v>
      </c>
      <c r="F25" s="18" t="str">
        <f>IF(SUMPRODUCT((('Hạng mục'!$A$6:$A$76=$C25)+('Hạng mục'!$A$6:$A$76=$D25))*'Hạng mục'!$J$6:$J$76)&gt;0,"✔ Có",IF(SUMPRODUCT((('Hạng mục'!$A$6:$A$76=$C25)+('Hạng mục'!$A$6:$A$76=$D25))*'Hạng mục'!$I$6:$N$76)=0,"＋ Tùy chọn","✘ Không"))</f>
        <v>✘ Không</v>
      </c>
      <c r="G25" s="18" t="str">
        <f>IF(SUMPRODUCT((('Hạng mục'!$A$6:$A$76=$C25)+('Hạng mục'!$A$6:$A$76=$D25))*'Hạng mục'!$K$6:$K$76)&gt;0,"✔ Có",IF(SUMPRODUCT((('Hạng mục'!$A$6:$A$76=$C25)+('Hạng mục'!$A$6:$A$76=$D25))*'Hạng mục'!$I$6:$N$76)=0,"＋ Tùy chọn","✘ Không"))</f>
        <v>✘ Không</v>
      </c>
      <c r="H25" s="18" t="str">
        <f>IF(SUMPRODUCT((('Hạng mục'!$A$6:$A$76=$C25)+('Hạng mục'!$A$6:$A$76=$D25))*'Hạng mục'!$L$6:$L$76)&gt;0,"✔ Có",IF(SUMPRODUCT((('Hạng mục'!$A$6:$A$76=$C25)+('Hạng mục'!$A$6:$A$76=$D25))*'Hạng mục'!$I$6:$N$76)=0,"＋ Tùy chọn","✘ Không"))</f>
        <v>✘ Không</v>
      </c>
      <c r="I25" s="18" t="str">
        <f>IF(SUMPRODUCT((('Hạng mục'!$A$6:$A$76=$C25)+('Hạng mục'!$A$6:$A$76=$D25))*'Hạng mục'!$M$6:$M$76)&gt;0,"✔ Có",IF(SUMPRODUCT((('Hạng mục'!$A$6:$A$76=$C25)+('Hạng mục'!$A$6:$A$76=$D25))*'Hạng mục'!$I$6:$N$76)=0,"＋ Tùy chọn","✘ Không"))</f>
        <v>✘ Không</v>
      </c>
      <c r="J25" s="18" t="str">
        <f>IF(SUMPRODUCT((('Hạng mục'!$A$6:$A$76=$C25)+('Hạng mục'!$A$6:$A$76=$D25))*'Hạng mục'!$N$6:$N$76)&gt;0,"✔ Có",IF(SUMPRODUCT((('Hạng mục'!$A$6:$A$76=$C25)+('Hạng mục'!$A$6:$A$76=$D25))*'Hạng mục'!$I$6:$N$76)=0,"＋ Tùy chọn","✘ Không"))</f>
        <v>✔ Có</v>
      </c>
    </row>
    <row r="26" spans="1:10" ht="27.95" customHeight="1" x14ac:dyDescent="0.25">
      <c r="A26" s="18">
        <v>20</v>
      </c>
      <c r="B26" s="6" t="s">
        <v>482</v>
      </c>
      <c r="C26" s="51" t="s">
        <v>356</v>
      </c>
      <c r="D26" s="51" t="s">
        <v>372</v>
      </c>
      <c r="E26" s="18" t="str">
        <f>IF(SUMPRODUCT((('Hạng mục'!$A$6:$A$76=$C26)+('Hạng mục'!$A$6:$A$76=$D26))*'Hạng mục'!$I$6:$I$76)&gt;0,"✔ Có",IF(SUMPRODUCT((('Hạng mục'!$A$6:$A$76=$C26)+('Hạng mục'!$A$6:$A$76=$D26))*'Hạng mục'!$I$6:$N$76)=0,"＋ Tùy chọn","✘ Không"))</f>
        <v>＋ Tùy chọn</v>
      </c>
      <c r="F26" s="18" t="str">
        <f>IF(SUMPRODUCT((('Hạng mục'!$A$6:$A$76=$C26)+('Hạng mục'!$A$6:$A$76=$D26))*'Hạng mục'!$J$6:$J$76)&gt;0,"✔ Có",IF(SUMPRODUCT((('Hạng mục'!$A$6:$A$76=$C26)+('Hạng mục'!$A$6:$A$76=$D26))*'Hạng mục'!$I$6:$N$76)=0,"＋ Tùy chọn","✘ Không"))</f>
        <v>＋ Tùy chọn</v>
      </c>
      <c r="G26" s="18" t="str">
        <f>IF(SUMPRODUCT((('Hạng mục'!$A$6:$A$76=$C26)+('Hạng mục'!$A$6:$A$76=$D26))*'Hạng mục'!$K$6:$K$76)&gt;0,"✔ Có",IF(SUMPRODUCT((('Hạng mục'!$A$6:$A$76=$C26)+('Hạng mục'!$A$6:$A$76=$D26))*'Hạng mục'!$I$6:$N$76)=0,"＋ Tùy chọn","✘ Không"))</f>
        <v>＋ Tùy chọn</v>
      </c>
      <c r="H26" s="18" t="str">
        <f>IF(SUMPRODUCT((('Hạng mục'!$A$6:$A$76=$C26)+('Hạng mục'!$A$6:$A$76=$D26))*'Hạng mục'!$L$6:$L$76)&gt;0,"✔ Có",IF(SUMPRODUCT((('Hạng mục'!$A$6:$A$76=$C26)+('Hạng mục'!$A$6:$A$76=$D26))*'Hạng mục'!$I$6:$N$76)=0,"＋ Tùy chọn","✘ Không"))</f>
        <v>＋ Tùy chọn</v>
      </c>
      <c r="I26" s="18" t="str">
        <f>IF(SUMPRODUCT((('Hạng mục'!$A$6:$A$76=$C26)+('Hạng mục'!$A$6:$A$76=$D26))*'Hạng mục'!$M$6:$M$76)&gt;0,"✔ Có",IF(SUMPRODUCT((('Hạng mục'!$A$6:$A$76=$C26)+('Hạng mục'!$A$6:$A$76=$D26))*'Hạng mục'!$I$6:$N$76)=0,"＋ Tùy chọn","✘ Không"))</f>
        <v>＋ Tùy chọn</v>
      </c>
      <c r="J26" s="18" t="str">
        <f>IF(SUMPRODUCT((('Hạng mục'!$A$6:$A$76=$C26)+('Hạng mục'!$A$6:$A$76=$D26))*'Hạng mục'!$N$6:$N$76)&gt;0,"✔ Có",IF(SUMPRODUCT((('Hạng mục'!$A$6:$A$76=$C26)+('Hạng mục'!$A$6:$A$76=$D26))*'Hạng mục'!$I$6:$N$76)=0,"＋ Tùy chọn","✘ Không"))</f>
        <v>＋ Tùy chọn</v>
      </c>
    </row>
    <row r="27" spans="1:10" ht="27.95" customHeight="1" x14ac:dyDescent="0.25">
      <c r="A27" s="18">
        <v>21</v>
      </c>
      <c r="B27" s="6" t="s">
        <v>455</v>
      </c>
      <c r="C27" s="51" t="s">
        <v>265</v>
      </c>
      <c r="D27" s="51"/>
      <c r="E27" s="18" t="str">
        <f>IF(SUMPRODUCT((('Hạng mục'!$A$6:$A$76=$C27)+('Hạng mục'!$A$6:$A$76=$D27))*'Hạng mục'!$I$6:$I$76)&gt;0,"✔ Có",IF(SUMPRODUCT((('Hạng mục'!$A$6:$A$76=$C27)+('Hạng mục'!$A$6:$A$76=$D27))*'Hạng mục'!$I$6:$N$76)=0,"＋ Tùy chọn","✘ Không"))</f>
        <v>＋ Tùy chọn</v>
      </c>
      <c r="F27" s="18" t="str">
        <f>IF(SUMPRODUCT((('Hạng mục'!$A$6:$A$76=$C27)+('Hạng mục'!$A$6:$A$76=$D27))*'Hạng mục'!$J$6:$J$76)&gt;0,"✔ Có",IF(SUMPRODUCT((('Hạng mục'!$A$6:$A$76=$C27)+('Hạng mục'!$A$6:$A$76=$D27))*'Hạng mục'!$I$6:$N$76)=0,"＋ Tùy chọn","✘ Không"))</f>
        <v>＋ Tùy chọn</v>
      </c>
      <c r="G27" s="18" t="str">
        <f>IF(SUMPRODUCT((('Hạng mục'!$A$6:$A$76=$C27)+('Hạng mục'!$A$6:$A$76=$D27))*'Hạng mục'!$K$6:$K$76)&gt;0,"✔ Có",IF(SUMPRODUCT((('Hạng mục'!$A$6:$A$76=$C27)+('Hạng mục'!$A$6:$A$76=$D27))*'Hạng mục'!$I$6:$N$76)=0,"＋ Tùy chọn","✘ Không"))</f>
        <v>＋ Tùy chọn</v>
      </c>
      <c r="H27" s="18" t="str">
        <f>IF(SUMPRODUCT((('Hạng mục'!$A$6:$A$76=$C27)+('Hạng mục'!$A$6:$A$76=$D27))*'Hạng mục'!$L$6:$L$76)&gt;0,"✔ Có",IF(SUMPRODUCT((('Hạng mục'!$A$6:$A$76=$C27)+('Hạng mục'!$A$6:$A$76=$D27))*'Hạng mục'!$I$6:$N$76)=0,"＋ Tùy chọn","✘ Không"))</f>
        <v>＋ Tùy chọn</v>
      </c>
      <c r="I27" s="18" t="str">
        <f>IF(SUMPRODUCT((('Hạng mục'!$A$6:$A$76=$C27)+('Hạng mục'!$A$6:$A$76=$D27))*'Hạng mục'!$M$6:$M$76)&gt;0,"✔ Có",IF(SUMPRODUCT((('Hạng mục'!$A$6:$A$76=$C27)+('Hạng mục'!$A$6:$A$76=$D27))*'Hạng mục'!$I$6:$N$76)=0,"＋ Tùy chọn","✘ Không"))</f>
        <v>＋ Tùy chọn</v>
      </c>
      <c r="J27" s="18" t="str">
        <f>IF(SUMPRODUCT((('Hạng mục'!$A$6:$A$76=$C27)+('Hạng mục'!$A$6:$A$76=$D27))*'Hạng mục'!$N$6:$N$76)&gt;0,"✔ Có",IF(SUMPRODUCT((('Hạng mục'!$A$6:$A$76=$C27)+('Hạng mục'!$A$6:$A$76=$D27))*'Hạng mục'!$I$6:$N$76)=0,"＋ Tùy chọn","✘ Không"))</f>
        <v>＋ Tùy chọn</v>
      </c>
    </row>
    <row r="28" spans="1:10" ht="27.95" customHeight="1" x14ac:dyDescent="0.25">
      <c r="A28" s="18">
        <v>22</v>
      </c>
      <c r="B28" s="6" t="s">
        <v>483</v>
      </c>
      <c r="C28" s="51" t="s">
        <v>374</v>
      </c>
      <c r="D28" s="51"/>
      <c r="E28" s="18" t="str">
        <f>IF(SUMPRODUCT((('Hạng mục'!$A$6:$A$76=$C28)+('Hạng mục'!$A$6:$A$76=$D28))*'Hạng mục'!$I$6:$I$76)&gt;0,"✔ Có",IF(SUMPRODUCT((('Hạng mục'!$A$6:$A$76=$C28)+('Hạng mục'!$A$6:$A$76=$D28))*'Hạng mục'!$I$6:$N$76)=0,"＋ Tùy chọn","✘ Không"))</f>
        <v>＋ Tùy chọn</v>
      </c>
      <c r="F28" s="18" t="str">
        <f>IF(SUMPRODUCT((('Hạng mục'!$A$6:$A$76=$C28)+('Hạng mục'!$A$6:$A$76=$D28))*'Hạng mục'!$J$6:$J$76)&gt;0,"✔ Có",IF(SUMPRODUCT((('Hạng mục'!$A$6:$A$76=$C28)+('Hạng mục'!$A$6:$A$76=$D28))*'Hạng mục'!$I$6:$N$76)=0,"＋ Tùy chọn","✘ Không"))</f>
        <v>＋ Tùy chọn</v>
      </c>
      <c r="G28" s="18" t="str">
        <f>IF(SUMPRODUCT((('Hạng mục'!$A$6:$A$76=$C28)+('Hạng mục'!$A$6:$A$76=$D28))*'Hạng mục'!$K$6:$K$76)&gt;0,"✔ Có",IF(SUMPRODUCT((('Hạng mục'!$A$6:$A$76=$C28)+('Hạng mục'!$A$6:$A$76=$D28))*'Hạng mục'!$I$6:$N$76)=0,"＋ Tùy chọn","✘ Không"))</f>
        <v>＋ Tùy chọn</v>
      </c>
      <c r="H28" s="18" t="str">
        <f>IF(SUMPRODUCT((('Hạng mục'!$A$6:$A$76=$C28)+('Hạng mục'!$A$6:$A$76=$D28))*'Hạng mục'!$L$6:$L$76)&gt;0,"✔ Có",IF(SUMPRODUCT((('Hạng mục'!$A$6:$A$76=$C28)+('Hạng mục'!$A$6:$A$76=$D28))*'Hạng mục'!$I$6:$N$76)=0,"＋ Tùy chọn","✘ Không"))</f>
        <v>＋ Tùy chọn</v>
      </c>
      <c r="I28" s="18" t="str">
        <f>IF(SUMPRODUCT((('Hạng mục'!$A$6:$A$76=$C28)+('Hạng mục'!$A$6:$A$76=$D28))*'Hạng mục'!$M$6:$M$76)&gt;0,"✔ Có",IF(SUMPRODUCT((('Hạng mục'!$A$6:$A$76=$C28)+('Hạng mục'!$A$6:$A$76=$D28))*'Hạng mục'!$I$6:$N$76)=0,"＋ Tùy chọn","✘ Không"))</f>
        <v>＋ Tùy chọn</v>
      </c>
      <c r="J28" s="18" t="str">
        <f>IF(SUMPRODUCT((('Hạng mục'!$A$6:$A$76=$C28)+('Hạng mục'!$A$6:$A$76=$D28))*'Hạng mục'!$N$6:$N$76)&gt;0,"✔ Có",IF(SUMPRODUCT((('Hạng mục'!$A$6:$A$76=$C28)+('Hạng mục'!$A$6:$A$76=$D28))*'Hạng mục'!$I$6:$N$76)=0,"＋ Tùy chọn","✘ Không"))</f>
        <v>＋ Tùy chọn</v>
      </c>
    </row>
    <row r="29" spans="1:10" ht="27.95" customHeight="1" x14ac:dyDescent="0.25"/>
    <row r="30" spans="1:10" ht="27.95" customHeight="1" x14ac:dyDescent="0.25"/>
    <row r="31" spans="1:10" ht="27.95" customHeight="1" x14ac:dyDescent="0.25"/>
    <row r="32" spans="1:10" ht="27.95" customHeight="1" x14ac:dyDescent="0.25"/>
    <row r="33" spans="1:10" ht="27.95" customHeight="1" x14ac:dyDescent="0.25"/>
    <row r="35" spans="1:10" ht="33.950000000000003" customHeight="1" x14ac:dyDescent="0.25">
      <c r="A35" s="76" t="s">
        <v>484</v>
      </c>
      <c r="B35" s="77"/>
      <c r="C35" s="77"/>
      <c r="D35" s="77"/>
      <c r="E35" s="77"/>
      <c r="F35" s="77"/>
      <c r="G35" s="77"/>
      <c r="H35" s="77"/>
      <c r="I35" s="77"/>
      <c r="J35" s="77"/>
    </row>
  </sheetData>
  <mergeCells count="1">
    <mergeCell ref="A35:J35"/>
  </mergeCells>
  <conditionalFormatting sqref="E7:J28">
    <cfRule type="expression" dxfId="2" priority="1">
      <formula>LEFT(E7,1)="✔"</formula>
    </cfRule>
    <cfRule type="expression" dxfId="1" priority="2">
      <formula>LEFT(E7,1)="✘"</formula>
    </cfRule>
    <cfRule type="expression" dxfId="0" priority="3">
      <formula>LEFT(E7,1)="＋"</formula>
    </cfRule>
  </conditionalFormatting>
  <pageMargins left="0.75" right="0.75" top="1" bottom="1" header="0.5" footer="0.5"/>
  <pageSetup fitToHeight="0" orientation="landscape"/>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10B981"/>
  </sheetPr>
  <dimension ref="A1:G36"/>
  <sheetViews>
    <sheetView showGridLines="0" workbookViewId="0">
      <pane xSplit="1" ySplit="4" topLeftCell="B5" activePane="bottomRight" state="frozen"/>
      <selection pane="topRight"/>
      <selection pane="bottomLeft"/>
      <selection pane="bottomRight"/>
    </sheetView>
  </sheetViews>
  <sheetFormatPr defaultRowHeight="15" x14ac:dyDescent="0.25"/>
  <cols>
    <col min="1" max="1" width="36" customWidth="1"/>
    <col min="2" max="7" width="22" customWidth="1"/>
  </cols>
  <sheetData>
    <row r="1" spans="1:7" ht="20.25" x14ac:dyDescent="0.3">
      <c r="A1" s="1" t="s">
        <v>485</v>
      </c>
    </row>
    <row r="2" spans="1:7" x14ac:dyDescent="0.25">
      <c r="A2" s="2" t="s">
        <v>486</v>
      </c>
    </row>
    <row r="4" spans="1:7" ht="32.1" customHeight="1" x14ac:dyDescent="0.25">
      <c r="A4" s="10" t="s">
        <v>189</v>
      </c>
      <c r="B4" s="10" t="s">
        <v>195</v>
      </c>
      <c r="C4" s="10" t="s">
        <v>196</v>
      </c>
      <c r="D4" s="10" t="s">
        <v>197</v>
      </c>
      <c r="E4" s="10" t="s">
        <v>198</v>
      </c>
      <c r="F4" s="10" t="s">
        <v>199</v>
      </c>
      <c r="G4" s="10" t="s">
        <v>200</v>
      </c>
    </row>
    <row r="5" spans="1:7" ht="62.1" customHeight="1" x14ac:dyDescent="0.25">
      <c r="A5" s="43" t="s">
        <v>437</v>
      </c>
      <c r="B5" s="50" t="s">
        <v>438</v>
      </c>
      <c r="C5" s="50" t="s">
        <v>487</v>
      </c>
      <c r="D5" s="50" t="s">
        <v>488</v>
      </c>
      <c r="E5" s="50" t="s">
        <v>489</v>
      </c>
      <c r="F5" s="50" t="s">
        <v>490</v>
      </c>
      <c r="G5" s="50" t="s">
        <v>491</v>
      </c>
    </row>
    <row r="6" spans="1:7" x14ac:dyDescent="0.25">
      <c r="A6" s="19" t="s">
        <v>206</v>
      </c>
      <c r="B6" s="16">
        <f>SUMPRODUCT(('Hạng mục'!$B$6:$B$76=$A6)*'Hạng mục'!$I$6:$I$76*'Hạng mục'!$H$6:$H$76)</f>
        <v>1050000</v>
      </c>
      <c r="C6" s="16">
        <f>SUMPRODUCT(('Hạng mục'!$B$6:$B$76=$A6)*'Hạng mục'!$J$6:$J$76*'Hạng mục'!$H$6:$H$76)</f>
        <v>2100000</v>
      </c>
      <c r="D6" s="16">
        <f>SUMPRODUCT(('Hạng mục'!$B$6:$B$76=$A6)*'Hạng mục'!$K$6:$K$76*'Hạng mục'!$H$6:$H$76)</f>
        <v>9450000</v>
      </c>
      <c r="E6" s="16">
        <f>SUMPRODUCT(('Hạng mục'!$B$6:$B$76=$A6)*'Hạng mục'!$L$6:$L$76*'Hạng mục'!$H$6:$H$76)</f>
        <v>8400000</v>
      </c>
      <c r="F6" s="16">
        <f>SUMPRODUCT(('Hạng mục'!$B$6:$B$76=$A6)*'Hạng mục'!$M$6:$M$76*'Hạng mục'!$H$6:$H$76)</f>
        <v>8400000</v>
      </c>
      <c r="G6" s="16">
        <f>SUMPRODUCT(('Hạng mục'!$B$6:$B$76=$A6)*'Hạng mục'!$N$6:$N$76*'Hạng mục'!$H$6:$H$76)</f>
        <v>8400000</v>
      </c>
    </row>
    <row r="7" spans="1:7" x14ac:dyDescent="0.25">
      <c r="A7" s="19" t="s">
        <v>222</v>
      </c>
      <c r="B7" s="16">
        <f>SUMPRODUCT(('Hạng mục'!$B$6:$B$76=$A7)*'Hạng mục'!$I$6:$I$76*'Hạng mục'!$H$6:$H$76)</f>
        <v>5250000</v>
      </c>
      <c r="C7" s="16">
        <f>SUMPRODUCT(('Hạng mục'!$B$6:$B$76=$A7)*'Hạng mục'!$J$6:$J$76*'Hạng mục'!$H$6:$H$76)</f>
        <v>8400000</v>
      </c>
      <c r="D7" s="16">
        <f>SUMPRODUCT(('Hạng mục'!$B$6:$B$76=$A7)*'Hạng mục'!$K$6:$K$76*'Hạng mục'!$H$6:$H$76)</f>
        <v>14700000</v>
      </c>
      <c r="E7" s="16">
        <f>SUMPRODUCT(('Hạng mục'!$B$6:$B$76=$A7)*'Hạng mục'!$L$6:$L$76*'Hạng mục'!$H$6:$H$76)</f>
        <v>11550000</v>
      </c>
      <c r="F7" s="16">
        <f>SUMPRODUCT(('Hạng mục'!$B$6:$B$76=$A7)*'Hạng mục'!$M$6:$M$76*'Hạng mục'!$H$6:$H$76)</f>
        <v>11550000</v>
      </c>
      <c r="G7" s="16">
        <f>SUMPRODUCT(('Hạng mục'!$B$6:$B$76=$A7)*'Hạng mục'!$N$6:$N$76*'Hạng mục'!$H$6:$H$76)</f>
        <v>6300000</v>
      </c>
    </row>
    <row r="8" spans="1:7" x14ac:dyDescent="0.25">
      <c r="A8" s="19" t="s">
        <v>244</v>
      </c>
      <c r="B8" s="16">
        <f>SUMPRODUCT(('Hạng mục'!$B$6:$B$76=$A8)*'Hạng mục'!$I$6:$I$76*'Hạng mục'!$H$6:$H$76)</f>
        <v>9100000</v>
      </c>
      <c r="C8" s="16">
        <f>SUMPRODUCT(('Hạng mục'!$B$6:$B$76=$A8)*'Hạng mục'!$J$6:$J$76*'Hạng mục'!$H$6:$H$76)</f>
        <v>16100000</v>
      </c>
      <c r="D8" s="16">
        <f>SUMPRODUCT(('Hạng mục'!$B$6:$B$76=$A8)*'Hạng mục'!$K$6:$K$76*'Hạng mục'!$H$6:$H$76)</f>
        <v>23100000</v>
      </c>
      <c r="E8" s="16">
        <f>SUMPRODUCT(('Hạng mục'!$B$6:$B$76=$A8)*'Hạng mục'!$L$6:$L$76*'Hạng mục'!$H$6:$H$76)</f>
        <v>17500000</v>
      </c>
      <c r="F8" s="16">
        <f>SUMPRODUCT(('Hạng mục'!$B$6:$B$76=$A8)*'Hạng mục'!$M$6:$M$76*'Hạng mục'!$H$6:$H$76)</f>
        <v>15400000</v>
      </c>
      <c r="G8" s="16">
        <f>SUMPRODUCT(('Hạng mục'!$B$6:$B$76=$A8)*'Hạng mục'!$N$6:$N$76*'Hạng mục'!$H$6:$H$76)</f>
        <v>14000000</v>
      </c>
    </row>
    <row r="9" spans="1:7" x14ac:dyDescent="0.25">
      <c r="A9" s="19" t="s">
        <v>269</v>
      </c>
      <c r="B9" s="16">
        <f>SUMPRODUCT(('Hạng mục'!$B$6:$B$76=$A9)*'Hạng mục'!$I$6:$I$76*'Hạng mục'!$H$6:$H$76)</f>
        <v>0</v>
      </c>
      <c r="C9" s="16">
        <f>SUMPRODUCT(('Hạng mục'!$B$6:$B$76=$A9)*'Hạng mục'!$J$6:$J$76*'Hạng mục'!$H$6:$H$76)</f>
        <v>0</v>
      </c>
      <c r="D9" s="16">
        <f>SUMPRODUCT(('Hạng mục'!$B$6:$B$76=$A9)*'Hạng mục'!$K$6:$K$76*'Hạng mục'!$H$6:$H$76)</f>
        <v>12600000</v>
      </c>
      <c r="E9" s="16">
        <f>SUMPRODUCT(('Hạng mục'!$B$6:$B$76=$A9)*'Hạng mục'!$L$6:$L$76*'Hạng mục'!$H$6:$H$76)</f>
        <v>26600000</v>
      </c>
      <c r="F9" s="16">
        <f>SUMPRODUCT(('Hạng mục'!$B$6:$B$76=$A9)*'Hạng mục'!$M$6:$M$76*'Hạng mục'!$H$6:$H$76)</f>
        <v>26600000</v>
      </c>
      <c r="G9" s="16">
        <f>SUMPRODUCT(('Hạng mục'!$B$6:$B$76=$A9)*'Hạng mục'!$N$6:$N$76*'Hạng mục'!$H$6:$H$76)</f>
        <v>18200000</v>
      </c>
    </row>
    <row r="10" spans="1:7" x14ac:dyDescent="0.25">
      <c r="A10" s="19" t="s">
        <v>290</v>
      </c>
      <c r="B10" s="16">
        <f>SUMPRODUCT(('Hạng mục'!$B$6:$B$76=$A10)*'Hạng mục'!$I$6:$I$76*'Hạng mục'!$H$6:$H$76)</f>
        <v>0</v>
      </c>
      <c r="C10" s="16">
        <f>SUMPRODUCT(('Hạng mục'!$B$6:$B$76=$A10)*'Hạng mục'!$J$6:$J$76*'Hạng mục'!$H$6:$H$76)</f>
        <v>0</v>
      </c>
      <c r="D10" s="16">
        <f>SUMPRODUCT(('Hạng mục'!$B$6:$B$76=$A10)*'Hạng mục'!$K$6:$K$76*'Hạng mục'!$H$6:$H$76)</f>
        <v>21000000</v>
      </c>
      <c r="E10" s="16">
        <f>SUMPRODUCT(('Hạng mục'!$B$6:$B$76=$A10)*'Hạng mục'!$L$6:$L$76*'Hạng mục'!$H$6:$H$76)</f>
        <v>0</v>
      </c>
      <c r="F10" s="16">
        <f>SUMPRODUCT(('Hạng mục'!$B$6:$B$76=$A10)*'Hạng mục'!$M$6:$M$76*'Hạng mục'!$H$6:$H$76)</f>
        <v>0</v>
      </c>
      <c r="G10" s="16">
        <f>SUMPRODUCT(('Hạng mục'!$B$6:$B$76=$A10)*'Hạng mục'!$N$6:$N$76*'Hạng mục'!$H$6:$H$76)</f>
        <v>0</v>
      </c>
    </row>
    <row r="11" spans="1:7" x14ac:dyDescent="0.25">
      <c r="A11" s="19" t="s">
        <v>303</v>
      </c>
      <c r="B11" s="16">
        <f>SUMPRODUCT(('Hạng mục'!$B$6:$B$76=$A11)*'Hạng mục'!$I$6:$I$76*'Hạng mục'!$H$6:$H$76)</f>
        <v>0</v>
      </c>
      <c r="C11" s="16">
        <f>SUMPRODUCT(('Hạng mục'!$B$6:$B$76=$A11)*'Hạng mục'!$J$6:$J$76*'Hạng mục'!$H$6:$H$76)</f>
        <v>0</v>
      </c>
      <c r="D11" s="16">
        <f>SUMPRODUCT(('Hạng mục'!$B$6:$B$76=$A11)*'Hạng mục'!$K$6:$K$76*'Hạng mục'!$H$6:$H$76)</f>
        <v>0</v>
      </c>
      <c r="E11" s="16">
        <f>SUMPRODUCT(('Hạng mục'!$B$6:$B$76=$A11)*'Hạng mục'!$L$6:$L$76*'Hạng mục'!$H$6:$H$76)</f>
        <v>35000000</v>
      </c>
      <c r="F11" s="16">
        <f>SUMPRODUCT(('Hạng mục'!$B$6:$B$76=$A11)*'Hạng mục'!$M$6:$M$76*'Hạng mục'!$H$6:$H$76)</f>
        <v>0</v>
      </c>
      <c r="G11" s="16">
        <f>SUMPRODUCT(('Hạng mục'!$B$6:$B$76=$A11)*'Hạng mục'!$N$6:$N$76*'Hạng mục'!$H$6:$H$76)</f>
        <v>0</v>
      </c>
    </row>
    <row r="12" spans="1:7" x14ac:dyDescent="0.25">
      <c r="A12" s="19" t="s">
        <v>322</v>
      </c>
      <c r="B12" s="16">
        <f>SUMPRODUCT(('Hạng mục'!$B$6:$B$76=$A12)*'Hạng mục'!$I$6:$I$76*'Hạng mục'!$H$6:$H$76)</f>
        <v>0</v>
      </c>
      <c r="C12" s="16">
        <f>SUMPRODUCT(('Hạng mục'!$B$6:$B$76=$A12)*'Hạng mục'!$J$6:$J$76*'Hạng mục'!$H$6:$H$76)</f>
        <v>0</v>
      </c>
      <c r="D12" s="16">
        <f>SUMPRODUCT(('Hạng mục'!$B$6:$B$76=$A12)*'Hạng mục'!$K$6:$K$76*'Hạng mục'!$H$6:$H$76)</f>
        <v>0</v>
      </c>
      <c r="E12" s="16">
        <f>SUMPRODUCT(('Hạng mục'!$B$6:$B$76=$A12)*'Hạng mục'!$L$6:$L$76*'Hạng mục'!$H$6:$H$76)</f>
        <v>0</v>
      </c>
      <c r="F12" s="16">
        <f>SUMPRODUCT(('Hạng mục'!$B$6:$B$76=$A12)*'Hạng mục'!$M$6:$M$76*'Hạng mục'!$H$6:$H$76)</f>
        <v>54600000</v>
      </c>
      <c r="G12" s="16">
        <f>SUMPRODUCT(('Hạng mục'!$B$6:$B$76=$A12)*'Hạng mục'!$N$6:$N$76*'Hạng mục'!$H$6:$H$76)</f>
        <v>0</v>
      </c>
    </row>
    <row r="13" spans="1:7" x14ac:dyDescent="0.25">
      <c r="A13" s="19" t="s">
        <v>347</v>
      </c>
      <c r="B13" s="16">
        <f>SUMPRODUCT(('Hạng mục'!$B$6:$B$76=$A13)*'Hạng mục'!$I$6:$I$76*'Hạng mục'!$H$6:$H$76)</f>
        <v>0</v>
      </c>
      <c r="C13" s="16">
        <f>SUMPRODUCT(('Hạng mục'!$B$6:$B$76=$A13)*'Hạng mục'!$J$6:$J$76*'Hạng mục'!$H$6:$H$76)</f>
        <v>0</v>
      </c>
      <c r="D13" s="16">
        <f>SUMPRODUCT(('Hạng mục'!$B$6:$B$76=$A13)*'Hạng mục'!$K$6:$K$76*'Hạng mục'!$H$6:$H$76)</f>
        <v>0</v>
      </c>
      <c r="E13" s="16">
        <f>SUMPRODUCT(('Hạng mục'!$B$6:$B$76=$A13)*'Hạng mục'!$L$6:$L$76*'Hạng mục'!$H$6:$H$76)</f>
        <v>0</v>
      </c>
      <c r="F13" s="16">
        <f>SUMPRODUCT(('Hạng mục'!$B$6:$B$76=$A13)*'Hạng mục'!$M$6:$M$76*'Hạng mục'!$H$6:$H$76)</f>
        <v>0</v>
      </c>
      <c r="G13" s="16">
        <f>SUMPRODUCT(('Hạng mục'!$B$6:$B$76=$A13)*'Hạng mục'!$N$6:$N$76*'Hạng mục'!$H$6:$H$76)</f>
        <v>19600000</v>
      </c>
    </row>
    <row r="14" spans="1:7" x14ac:dyDescent="0.25">
      <c r="A14" s="19" t="s">
        <v>363</v>
      </c>
      <c r="B14" s="16">
        <f>SUMPRODUCT(('Hạng mục'!$B$6:$B$76=$A14)*'Hạng mục'!$I$6:$I$76*'Hạng mục'!$H$6:$H$76)</f>
        <v>1400000</v>
      </c>
      <c r="C14" s="16">
        <f>SUMPRODUCT(('Hạng mục'!$B$6:$B$76=$A14)*'Hạng mục'!$J$6:$J$76*'Hạng mục'!$H$6:$H$76)</f>
        <v>1400000</v>
      </c>
      <c r="D14" s="16">
        <f>SUMPRODUCT(('Hạng mục'!$B$6:$B$76=$A14)*'Hạng mục'!$K$6:$K$76*'Hạng mục'!$H$6:$H$76)</f>
        <v>1400000</v>
      </c>
      <c r="E14" s="16">
        <f>SUMPRODUCT(('Hạng mục'!$B$6:$B$76=$A14)*'Hạng mục'!$L$6:$L$76*'Hạng mục'!$H$6:$H$76)</f>
        <v>2800000</v>
      </c>
      <c r="F14" s="16">
        <f>SUMPRODUCT(('Hạng mục'!$B$6:$B$76=$A14)*'Hạng mục'!$M$6:$M$76*'Hạng mục'!$H$6:$H$76)</f>
        <v>2800000</v>
      </c>
      <c r="G14" s="16">
        <f>SUMPRODUCT(('Hạng mục'!$B$6:$B$76=$A14)*'Hạng mục'!$N$6:$N$76*'Hạng mục'!$H$6:$H$76)</f>
        <v>0</v>
      </c>
    </row>
    <row r="15" spans="1:7" x14ac:dyDescent="0.25">
      <c r="A15" s="19" t="s">
        <v>384</v>
      </c>
      <c r="B15" s="16">
        <f>SUMPRODUCT(('Hạng mục'!$B$6:$B$76=$A15)*'Hạng mục'!$I$6:$I$76*'Hạng mục'!$H$6:$H$76)</f>
        <v>3850000</v>
      </c>
      <c r="C15" s="16">
        <f>SUMPRODUCT(('Hạng mục'!$B$6:$B$76=$A15)*'Hạng mục'!$J$6:$J$76*'Hạng mục'!$H$6:$H$76)</f>
        <v>3850000</v>
      </c>
      <c r="D15" s="16">
        <f>SUMPRODUCT(('Hạng mục'!$B$6:$B$76=$A15)*'Hạng mục'!$K$6:$K$76*'Hạng mục'!$H$6:$H$76)</f>
        <v>6650000</v>
      </c>
      <c r="E15" s="16">
        <f>SUMPRODUCT(('Hạng mục'!$B$6:$B$76=$A15)*'Hạng mục'!$L$6:$L$76*'Hạng mục'!$H$6:$H$76)</f>
        <v>11200000</v>
      </c>
      <c r="F15" s="16">
        <f>SUMPRODUCT(('Hạng mục'!$B$6:$B$76=$A15)*'Hạng mục'!$M$6:$M$76*'Hạng mục'!$H$6:$H$76)</f>
        <v>11200000</v>
      </c>
      <c r="G15" s="16">
        <f>SUMPRODUCT(('Hạng mục'!$B$6:$B$76=$A15)*'Hạng mục'!$N$6:$N$76*'Hạng mục'!$H$6:$H$76)</f>
        <v>11200000</v>
      </c>
    </row>
    <row r="16" spans="1:7" x14ac:dyDescent="0.25">
      <c r="A16" s="19" t="s">
        <v>400</v>
      </c>
      <c r="B16" s="16">
        <f>SUMPRODUCT(('Hạng mục'!$B$6:$B$76=$A16)*'Hạng mục'!$I$6:$I$76*'Hạng mục'!$H$6:$H$76)</f>
        <v>1400000</v>
      </c>
      <c r="C16" s="16">
        <f>SUMPRODUCT(('Hạng mục'!$B$6:$B$76=$A16)*'Hạng mục'!$J$6:$J$76*'Hạng mục'!$H$6:$H$76)</f>
        <v>1400000</v>
      </c>
      <c r="D16" s="16">
        <f>SUMPRODUCT(('Hạng mục'!$B$6:$B$76=$A16)*'Hạng mục'!$K$6:$K$76*'Hạng mục'!$H$6:$H$76)</f>
        <v>9100000</v>
      </c>
      <c r="E16" s="16">
        <f>SUMPRODUCT(('Hạng mục'!$B$6:$B$76=$A16)*'Hạng mục'!$L$6:$L$76*'Hạng mục'!$H$6:$H$76)</f>
        <v>9100000</v>
      </c>
      <c r="F16" s="16">
        <f>SUMPRODUCT(('Hạng mục'!$B$6:$B$76=$A16)*'Hạng mục'!$M$6:$M$76*'Hạng mục'!$H$6:$H$76)</f>
        <v>9100000</v>
      </c>
      <c r="G16" s="16">
        <f>SUMPRODUCT(('Hạng mục'!$B$6:$B$76=$A16)*'Hạng mục'!$N$6:$N$76*'Hạng mục'!$H$6:$H$76)</f>
        <v>9100000</v>
      </c>
    </row>
    <row r="17" spans="1:7" x14ac:dyDescent="0.25">
      <c r="A17" s="19" t="s">
        <v>416</v>
      </c>
      <c r="B17" s="16">
        <f>SUMPRODUCT(('Hạng mục'!$B$6:$B$76=$A17)*'Hạng mục'!$I$6:$I$76*'Hạng mục'!$H$6:$H$76)</f>
        <v>1750000</v>
      </c>
      <c r="C17" s="16">
        <f>SUMPRODUCT(('Hạng mục'!$B$6:$B$76=$A17)*'Hạng mục'!$J$6:$J$76*'Hạng mục'!$H$6:$H$76)</f>
        <v>1750000</v>
      </c>
      <c r="D17" s="16">
        <f>SUMPRODUCT(('Hạng mục'!$B$6:$B$76=$A17)*'Hạng mục'!$K$6:$K$76*'Hạng mục'!$H$6:$H$76)</f>
        <v>4900000</v>
      </c>
      <c r="E17" s="16">
        <f>SUMPRODUCT(('Hạng mục'!$B$6:$B$76=$A17)*'Hạng mục'!$L$6:$L$76*'Hạng mục'!$H$6:$H$76)</f>
        <v>3850000</v>
      </c>
      <c r="F17" s="16">
        <f>SUMPRODUCT(('Hạng mục'!$B$6:$B$76=$A17)*'Hạng mục'!$M$6:$M$76*'Hạng mục'!$H$6:$H$76)</f>
        <v>3850000</v>
      </c>
      <c r="G17" s="16">
        <f>SUMPRODUCT(('Hạng mục'!$B$6:$B$76=$A17)*'Hạng mục'!$N$6:$N$76*'Hạng mục'!$H$6:$H$76)</f>
        <v>3850000</v>
      </c>
    </row>
    <row r="18" spans="1:7" x14ac:dyDescent="0.25">
      <c r="A18" s="43" t="s">
        <v>492</v>
      </c>
      <c r="B18" s="46">
        <f t="shared" ref="B18:G18" si="0">SUM(B6:B17)</f>
        <v>23800000</v>
      </c>
      <c r="C18" s="46">
        <f t="shared" si="0"/>
        <v>35000000</v>
      </c>
      <c r="D18" s="46">
        <f t="shared" si="0"/>
        <v>102900000</v>
      </c>
      <c r="E18" s="46">
        <f t="shared" si="0"/>
        <v>126000000</v>
      </c>
      <c r="F18" s="46">
        <f t="shared" si="0"/>
        <v>143500000</v>
      </c>
      <c r="G18" s="46">
        <f t="shared" si="0"/>
        <v>90650000</v>
      </c>
    </row>
    <row r="19" spans="1:7" x14ac:dyDescent="0.25">
      <c r="A19" s="19" t="s">
        <v>493</v>
      </c>
      <c r="B19" s="16">
        <f>B18*'Thông số'!$B$14</f>
        <v>1904000</v>
      </c>
      <c r="C19" s="16">
        <f>C18*'Thông số'!$B$14</f>
        <v>2800000</v>
      </c>
      <c r="D19" s="16">
        <f>D18*'Thông số'!$B$14</f>
        <v>8232000</v>
      </c>
      <c r="E19" s="16">
        <f>E18*'Thông số'!$B$14</f>
        <v>10080000</v>
      </c>
      <c r="F19" s="16">
        <f>F18*'Thông số'!$B$14</f>
        <v>11480000</v>
      </c>
      <c r="G19" s="16">
        <f>G18*'Thông số'!$B$14</f>
        <v>7252000</v>
      </c>
    </row>
    <row r="20" spans="1:7" x14ac:dyDescent="0.25">
      <c r="A20" s="19" t="s">
        <v>494</v>
      </c>
      <c r="B20" s="16">
        <f>(B18+B19)*'Thông số'!$B$15</f>
        <v>2570400</v>
      </c>
      <c r="C20" s="16">
        <f>(C18+C19)*'Thông số'!$B$15</f>
        <v>3780000</v>
      </c>
      <c r="D20" s="16">
        <f>(D18+D19)*'Thông số'!$B$15</f>
        <v>11113200</v>
      </c>
      <c r="E20" s="16">
        <f>(E18+E19)*'Thông số'!$B$15</f>
        <v>13608000</v>
      </c>
      <c r="F20" s="16">
        <f>(F18+F19)*'Thông số'!$B$15</f>
        <v>15498000</v>
      </c>
      <c r="G20" s="16">
        <f>(G18+G19)*'Thông số'!$B$15</f>
        <v>9790200</v>
      </c>
    </row>
    <row r="21" spans="1:7" x14ac:dyDescent="0.25">
      <c r="A21" s="43" t="s">
        <v>495</v>
      </c>
      <c r="B21" s="46">
        <f t="shared" ref="B21:G21" si="1">B18+B19+B20</f>
        <v>28274400</v>
      </c>
      <c r="C21" s="46">
        <f t="shared" si="1"/>
        <v>41580000</v>
      </c>
      <c r="D21" s="46">
        <f t="shared" si="1"/>
        <v>122245200</v>
      </c>
      <c r="E21" s="46">
        <f t="shared" si="1"/>
        <v>149688000</v>
      </c>
      <c r="F21" s="46">
        <f t="shared" si="1"/>
        <v>170478000</v>
      </c>
      <c r="G21" s="46">
        <f t="shared" si="1"/>
        <v>107692200</v>
      </c>
    </row>
    <row r="22" spans="1:7" x14ac:dyDescent="0.25">
      <c r="A22" s="19" t="s">
        <v>461</v>
      </c>
      <c r="B22" s="16">
        <f>B21*'Thông số'!$B$16</f>
        <v>2827440</v>
      </c>
      <c r="C22" s="16">
        <f>C21*'Thông số'!$B$16</f>
        <v>4158000</v>
      </c>
      <c r="D22" s="16">
        <f>D21*'Thông số'!$B$16</f>
        <v>12224520</v>
      </c>
      <c r="E22" s="16">
        <f>E21*'Thông số'!$B$16</f>
        <v>14968800</v>
      </c>
      <c r="F22" s="16">
        <f>F21*'Thông số'!$B$16</f>
        <v>17047800</v>
      </c>
      <c r="G22" s="16">
        <f>G21*'Thông số'!$B$16</f>
        <v>10769220</v>
      </c>
    </row>
    <row r="23" spans="1:7" x14ac:dyDescent="0.25">
      <c r="A23" s="43" t="s">
        <v>462</v>
      </c>
      <c r="B23" s="53">
        <f t="shared" ref="B23:G23" si="2">B21+B22</f>
        <v>31101840</v>
      </c>
      <c r="C23" s="53">
        <f t="shared" si="2"/>
        <v>45738000</v>
      </c>
      <c r="D23" s="53">
        <f t="shared" si="2"/>
        <v>134469720</v>
      </c>
      <c r="E23" s="53">
        <f t="shared" si="2"/>
        <v>164656800</v>
      </c>
      <c r="F23" s="53">
        <f t="shared" si="2"/>
        <v>187525800</v>
      </c>
      <c r="G23" s="53">
        <f t="shared" si="2"/>
        <v>118461420</v>
      </c>
    </row>
    <row r="25" spans="1:7" x14ac:dyDescent="0.25">
      <c r="A25" s="21" t="s">
        <v>496</v>
      </c>
      <c r="B25" s="57">
        <f>SUMPRODUCT('Hạng mục'!$I$6:$I$76,'Hạng mục'!$F$6:$F$76)</f>
        <v>19.5</v>
      </c>
      <c r="C25" s="57">
        <f>SUMPRODUCT('Hạng mục'!$J$6:$J$76,'Hạng mục'!$F$6:$F$76)</f>
        <v>28.5</v>
      </c>
      <c r="D25" s="57">
        <f>SUMPRODUCT('Hạng mục'!$K$6:$K$76,'Hạng mục'!$F$6:$F$76)</f>
        <v>80</v>
      </c>
      <c r="E25" s="57">
        <f>SUMPRODUCT('Hạng mục'!$L$6:$L$76,'Hạng mục'!$F$6:$F$76)</f>
        <v>98.5</v>
      </c>
      <c r="F25" s="57">
        <f>SUMPRODUCT('Hạng mục'!$M$6:$M$76,'Hạng mục'!$F$6:$F$76)</f>
        <v>111</v>
      </c>
      <c r="G25" s="57">
        <f>SUMPRODUCT('Hạng mục'!$N$6:$N$76,'Hạng mục'!$F$6:$F$76)</f>
        <v>72</v>
      </c>
    </row>
    <row r="26" spans="1:7" x14ac:dyDescent="0.25">
      <c r="A26" s="19" t="s">
        <v>463</v>
      </c>
      <c r="B26" s="54">
        <v>1</v>
      </c>
      <c r="C26" s="54">
        <v>1</v>
      </c>
      <c r="D26" s="54">
        <v>2</v>
      </c>
      <c r="E26" s="54">
        <v>2</v>
      </c>
      <c r="F26" s="54">
        <v>2</v>
      </c>
      <c r="G26" s="54">
        <v>2</v>
      </c>
    </row>
    <row r="27" spans="1:7" x14ac:dyDescent="0.25">
      <c r="A27" s="21" t="s">
        <v>464</v>
      </c>
      <c r="B27" s="55">
        <f>ROUNDUP(B25*(1+'Thông số'!$B$14)/(B26*'Thông số'!$B$17*'Thông số'!$B$18),0)</f>
        <v>6</v>
      </c>
      <c r="C27" s="55">
        <f>ROUNDUP(C25*(1+'Thông số'!$B$14)/(C26*'Thông số'!$B$17*'Thông số'!$B$18),0)</f>
        <v>8</v>
      </c>
      <c r="D27" s="55">
        <f>ROUNDUP(D25*(1+'Thông số'!$B$14)/(D26*'Thông số'!$B$17*'Thông số'!$B$18),0)</f>
        <v>11</v>
      </c>
      <c r="E27" s="55">
        <f>ROUNDUP(E25*(1+'Thông số'!$B$14)/(E26*'Thông số'!$B$17*'Thông số'!$B$18),0)</f>
        <v>14</v>
      </c>
      <c r="F27" s="55">
        <f>ROUNDUP(F25*(1+'Thông số'!$B$14)/(F26*'Thông số'!$B$17*'Thông số'!$B$18),0)</f>
        <v>15</v>
      </c>
      <c r="G27" s="55">
        <f>ROUNDUP(G25*(1+'Thông số'!$B$14)/(G26*'Thông số'!$B$17*'Thông số'!$B$18),0)</f>
        <v>10</v>
      </c>
    </row>
    <row r="28" spans="1:7" x14ac:dyDescent="0.25">
      <c r="A28" s="19" t="s">
        <v>497</v>
      </c>
      <c r="B28" s="32" t="s">
        <v>466</v>
      </c>
      <c r="C28" s="32" t="s">
        <v>466</v>
      </c>
      <c r="D28" s="32" t="s">
        <v>467</v>
      </c>
      <c r="E28" s="32" t="s">
        <v>467</v>
      </c>
      <c r="F28" s="32" t="s">
        <v>467</v>
      </c>
      <c r="G28" s="32" t="s">
        <v>466</v>
      </c>
    </row>
    <row r="29" spans="1:7" x14ac:dyDescent="0.25">
      <c r="A29" s="19" t="s">
        <v>498</v>
      </c>
      <c r="B29" s="16">
        <f>INDEX('Vận hành'!$I$22:$K$22,MATCH(B28,'Vận hành'!$I$5:$K$5,0))</f>
        <v>133333.33333333334</v>
      </c>
      <c r="C29" s="16">
        <f>INDEX('Vận hành'!$I$22:$K$22,MATCH(C28,'Vận hành'!$I$5:$K$5,0))</f>
        <v>133333.33333333334</v>
      </c>
      <c r="D29" s="16">
        <f>INDEX('Vận hành'!$I$22:$K$22,MATCH(D28,'Vận hành'!$I$5:$K$5,0))</f>
        <v>523333.33333333331</v>
      </c>
      <c r="E29" s="16">
        <f>INDEX('Vận hành'!$I$22:$K$22,MATCH(E28,'Vận hành'!$I$5:$K$5,0))</f>
        <v>523333.33333333331</v>
      </c>
      <c r="F29" s="16">
        <f>INDEX('Vận hành'!$I$22:$K$22,MATCH(F28,'Vận hành'!$I$5:$K$5,0))</f>
        <v>523333.33333333331</v>
      </c>
      <c r="G29" s="16">
        <f>INDEX('Vận hành'!$I$22:$K$22,MATCH(G28,'Vận hành'!$I$5:$K$5,0))</f>
        <v>133333.33333333334</v>
      </c>
    </row>
    <row r="30" spans="1:7" x14ac:dyDescent="0.25">
      <c r="A30" s="19" t="s">
        <v>499</v>
      </c>
      <c r="B30" s="16">
        <f>INDEX('Vận hành'!$I$23:$K$23,MATCH(B28,'Vận hành'!$I$5:$K$5,0))</f>
        <v>405000</v>
      </c>
      <c r="C30" s="16">
        <f>INDEX('Vận hành'!$I$23:$K$23,MATCH(C28,'Vận hành'!$I$5:$K$5,0))</f>
        <v>405000</v>
      </c>
      <c r="D30" s="16">
        <f>INDEX('Vận hành'!$I$23:$K$23,MATCH(D28,'Vận hành'!$I$5:$K$5,0))</f>
        <v>2130000</v>
      </c>
      <c r="E30" s="16">
        <f>INDEX('Vận hành'!$I$23:$K$23,MATCH(E28,'Vận hành'!$I$5:$K$5,0))</f>
        <v>2130000</v>
      </c>
      <c r="F30" s="16">
        <f>INDEX('Vận hành'!$I$23:$K$23,MATCH(F28,'Vận hành'!$I$5:$K$5,0))</f>
        <v>2130000</v>
      </c>
      <c r="G30" s="16">
        <f>INDEX('Vận hành'!$I$23:$K$23,MATCH(G28,'Vận hành'!$I$5:$K$5,0))</f>
        <v>405000</v>
      </c>
    </row>
    <row r="31" spans="1:7" x14ac:dyDescent="0.25">
      <c r="A31" s="21" t="s">
        <v>500</v>
      </c>
      <c r="B31" s="53">
        <f>INDEX('Vận hành'!$I$24:$K$24,MATCH(B28,'Vận hành'!$I$5:$K$5,0))</f>
        <v>538333.33333333337</v>
      </c>
      <c r="C31" s="53">
        <f>INDEX('Vận hành'!$I$24:$K$24,MATCH(C28,'Vận hành'!$I$5:$K$5,0))</f>
        <v>538333.33333333337</v>
      </c>
      <c r="D31" s="53">
        <f>INDEX('Vận hành'!$I$24:$K$24,MATCH(D28,'Vận hành'!$I$5:$K$5,0))</f>
        <v>2653333.3333333335</v>
      </c>
      <c r="E31" s="53">
        <f>INDEX('Vận hành'!$I$24:$K$24,MATCH(E28,'Vận hành'!$I$5:$K$5,0))</f>
        <v>2653333.3333333335</v>
      </c>
      <c r="F31" s="53">
        <f>INDEX('Vận hành'!$I$24:$K$24,MATCH(F28,'Vận hành'!$I$5:$K$5,0))</f>
        <v>2653333.3333333335</v>
      </c>
      <c r="G31" s="53">
        <f>INDEX('Vận hành'!$I$24:$K$24,MATCH(G28,'Vận hành'!$I$5:$K$5,0))</f>
        <v>538333.33333333337</v>
      </c>
    </row>
    <row r="32" spans="1:7" x14ac:dyDescent="0.25">
      <c r="A32" s="52" t="s">
        <v>501</v>
      </c>
      <c r="B32" s="53">
        <f>'Bảng giá đề xuất'!F6</f>
        <v>5000000</v>
      </c>
      <c r="C32" s="53">
        <f>'Bảng giá đề xuất'!F7</f>
        <v>12000000</v>
      </c>
      <c r="D32" s="53">
        <f>'Bảng giá đề xuất'!F8</f>
        <v>28000000</v>
      </c>
      <c r="E32" s="53">
        <f>'Bảng giá đề xuất'!F15</f>
        <v>85000000</v>
      </c>
      <c r="F32" s="53">
        <f>'Bảng giá đề xuất'!F16</f>
        <v>160000000</v>
      </c>
      <c r="G32" s="53">
        <f>'Bảng giá đề xuất'!F13</f>
        <v>30000000</v>
      </c>
    </row>
    <row r="33" spans="1:7" x14ac:dyDescent="0.25">
      <c r="A33" s="58" t="s">
        <v>115</v>
      </c>
    </row>
    <row r="34" spans="1:7" ht="27.95" customHeight="1" x14ac:dyDescent="0.25">
      <c r="A34" s="76" t="s">
        <v>502</v>
      </c>
      <c r="B34" s="77"/>
      <c r="C34" s="77"/>
      <c r="D34" s="77"/>
      <c r="E34" s="77"/>
      <c r="F34" s="77"/>
      <c r="G34" s="77"/>
    </row>
    <row r="35" spans="1:7" ht="27.95" customHeight="1" x14ac:dyDescent="0.25">
      <c r="A35" s="76" t="s">
        <v>503</v>
      </c>
      <c r="B35" s="77"/>
      <c r="C35" s="77"/>
      <c r="D35" s="77"/>
      <c r="E35" s="77"/>
      <c r="F35" s="77"/>
      <c r="G35" s="77"/>
    </row>
    <row r="36" spans="1:7" ht="27.95" customHeight="1" x14ac:dyDescent="0.25">
      <c r="A36" s="76" t="s">
        <v>504</v>
      </c>
      <c r="B36" s="77"/>
      <c r="C36" s="77"/>
      <c r="D36" s="77"/>
      <c r="E36" s="77"/>
      <c r="F36" s="77"/>
      <c r="G36" s="77"/>
    </row>
  </sheetData>
  <mergeCells count="3">
    <mergeCell ref="A36:G36"/>
    <mergeCell ref="A34:G34"/>
    <mergeCell ref="A35:G35"/>
  </mergeCells>
  <dataValidations count="1">
    <dataValidation type="list" sqref="B28:G28" xr:uid="{00000000-0002-0000-0600-000000000000}">
      <formula1>"Cơ bản,Tiêu chuẩn,Nâng cao"</formula1>
    </dataValidation>
  </dataValidations>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F59E0B"/>
  </sheetPr>
  <dimension ref="A1:L27"/>
  <sheetViews>
    <sheetView showGridLines="0" workbookViewId="0">
      <pane xSplit="2" ySplit="5" topLeftCell="C6" activePane="bottomRight" state="frozen"/>
      <selection pane="topRight"/>
      <selection pane="bottomLeft"/>
      <selection pane="bottomRight"/>
    </sheetView>
  </sheetViews>
  <sheetFormatPr defaultRowHeight="15" x14ac:dyDescent="0.25"/>
  <cols>
    <col min="1" max="1" width="24" customWidth="1"/>
    <col min="2" max="2" width="46" customWidth="1"/>
    <col min="3" max="3" width="9" customWidth="1"/>
    <col min="4" max="5" width="16" customWidth="1"/>
    <col min="6" max="6" width="10" customWidth="1"/>
    <col min="7" max="7" width="12" customWidth="1"/>
    <col min="8" max="8" width="11" customWidth="1"/>
    <col min="9" max="11" width="14" customWidth="1"/>
    <col min="12" max="12" width="52" customWidth="1"/>
  </cols>
  <sheetData>
    <row r="1" spans="1:12" ht="20.25" x14ac:dyDescent="0.3">
      <c r="A1" s="1" t="s">
        <v>505</v>
      </c>
    </row>
    <row r="2" spans="1:12" x14ac:dyDescent="0.25">
      <c r="A2" s="2" t="s">
        <v>506</v>
      </c>
    </row>
    <row r="5" spans="1:12" ht="32.1" customHeight="1" x14ac:dyDescent="0.25">
      <c r="A5" s="10" t="s">
        <v>507</v>
      </c>
      <c r="B5" s="10" t="s">
        <v>190</v>
      </c>
      <c r="C5" s="10" t="s">
        <v>114</v>
      </c>
      <c r="D5" s="10" t="s">
        <v>508</v>
      </c>
      <c r="E5" s="10" t="s">
        <v>509</v>
      </c>
      <c r="F5" s="10" t="s">
        <v>510</v>
      </c>
      <c r="G5" s="10" t="s">
        <v>511</v>
      </c>
      <c r="H5" s="10" t="s">
        <v>512</v>
      </c>
      <c r="I5" s="10" t="s">
        <v>466</v>
      </c>
      <c r="J5" s="10" t="s">
        <v>467</v>
      </c>
      <c r="K5" s="10" t="s">
        <v>513</v>
      </c>
      <c r="L5" s="10" t="s">
        <v>115</v>
      </c>
    </row>
    <row r="6" spans="1:12" ht="30" customHeight="1" x14ac:dyDescent="0.25">
      <c r="A6" s="59" t="s">
        <v>514</v>
      </c>
      <c r="B6" s="11" t="s">
        <v>515</v>
      </c>
      <c r="C6" s="60" t="s">
        <v>516</v>
      </c>
      <c r="D6" s="22">
        <v>350000</v>
      </c>
      <c r="E6" s="16">
        <f t="shared" ref="E6:E20" si="0">IF(C6="năm",D6/12,D6)</f>
        <v>350000</v>
      </c>
      <c r="F6" s="61">
        <v>0</v>
      </c>
      <c r="G6" s="61">
        <v>1</v>
      </c>
      <c r="H6" s="61">
        <v>2</v>
      </c>
      <c r="I6" s="16">
        <f t="shared" ref="I6:I20" si="1">$E6*F6</f>
        <v>0</v>
      </c>
      <c r="J6" s="16">
        <f t="shared" ref="J6:J20" si="2">$E6*G6</f>
        <v>350000</v>
      </c>
      <c r="K6" s="16">
        <f t="shared" ref="K6:K20" si="3">$E6*H6</f>
        <v>700000</v>
      </c>
      <c r="L6" s="12" t="s">
        <v>517</v>
      </c>
    </row>
    <row r="7" spans="1:12" ht="30" customHeight="1" x14ac:dyDescent="0.25">
      <c r="A7" s="59" t="s">
        <v>514</v>
      </c>
      <c r="B7" s="11" t="s">
        <v>123</v>
      </c>
      <c r="C7" s="60" t="s">
        <v>516</v>
      </c>
      <c r="D7" s="22">
        <v>100000</v>
      </c>
      <c r="E7" s="16">
        <f t="shared" si="0"/>
        <v>100000</v>
      </c>
      <c r="F7" s="61">
        <v>1</v>
      </c>
      <c r="G7" s="61">
        <v>0</v>
      </c>
      <c r="H7" s="61">
        <v>0</v>
      </c>
      <c r="I7" s="16">
        <f t="shared" si="1"/>
        <v>100000</v>
      </c>
      <c r="J7" s="16">
        <f t="shared" si="2"/>
        <v>0</v>
      </c>
      <c r="K7" s="16">
        <f t="shared" si="3"/>
        <v>0</v>
      </c>
      <c r="L7" s="12" t="s">
        <v>518</v>
      </c>
    </row>
    <row r="8" spans="1:12" ht="30" customHeight="1" x14ac:dyDescent="0.25">
      <c r="A8" s="59" t="s">
        <v>514</v>
      </c>
      <c r="B8" s="11" t="s">
        <v>519</v>
      </c>
      <c r="C8" s="60" t="s">
        <v>118</v>
      </c>
      <c r="D8" s="22">
        <v>400000</v>
      </c>
      <c r="E8" s="16">
        <f t="shared" si="0"/>
        <v>33333.333333333336</v>
      </c>
      <c r="F8" s="61">
        <v>1</v>
      </c>
      <c r="G8" s="61">
        <v>1</v>
      </c>
      <c r="H8" s="61">
        <v>1</v>
      </c>
      <c r="I8" s="16">
        <f t="shared" si="1"/>
        <v>33333.333333333336</v>
      </c>
      <c r="J8" s="16">
        <f t="shared" si="2"/>
        <v>33333.333333333336</v>
      </c>
      <c r="K8" s="16">
        <f t="shared" si="3"/>
        <v>33333.333333333336</v>
      </c>
      <c r="L8" s="12" t="s">
        <v>520</v>
      </c>
    </row>
    <row r="9" spans="1:12" ht="30" customHeight="1" x14ac:dyDescent="0.25">
      <c r="A9" s="59" t="s">
        <v>514</v>
      </c>
      <c r="B9" s="11" t="s">
        <v>129</v>
      </c>
      <c r="C9" s="60" t="s">
        <v>118</v>
      </c>
      <c r="D9" s="22">
        <v>0</v>
      </c>
      <c r="E9" s="16">
        <f t="shared" si="0"/>
        <v>0</v>
      </c>
      <c r="F9" s="61">
        <v>1</v>
      </c>
      <c r="G9" s="61">
        <v>1</v>
      </c>
      <c r="H9" s="61">
        <v>1</v>
      </c>
      <c r="I9" s="16">
        <f t="shared" si="1"/>
        <v>0</v>
      </c>
      <c r="J9" s="16">
        <f t="shared" si="2"/>
        <v>0</v>
      </c>
      <c r="K9" s="16">
        <f t="shared" si="3"/>
        <v>0</v>
      </c>
      <c r="L9" s="12" t="s">
        <v>521</v>
      </c>
    </row>
    <row r="10" spans="1:12" ht="30" customHeight="1" x14ac:dyDescent="0.25">
      <c r="A10" s="59" t="s">
        <v>514</v>
      </c>
      <c r="B10" s="11" t="s">
        <v>522</v>
      </c>
      <c r="C10" s="60" t="s">
        <v>516</v>
      </c>
      <c r="D10" s="22">
        <v>50000</v>
      </c>
      <c r="E10" s="16">
        <f t="shared" si="0"/>
        <v>50000</v>
      </c>
      <c r="F10" s="61">
        <v>0</v>
      </c>
      <c r="G10" s="61">
        <v>1</v>
      </c>
      <c r="H10" s="61">
        <v>2</v>
      </c>
      <c r="I10" s="16">
        <f t="shared" si="1"/>
        <v>0</v>
      </c>
      <c r="J10" s="16">
        <f t="shared" si="2"/>
        <v>50000</v>
      </c>
      <c r="K10" s="16">
        <f t="shared" si="3"/>
        <v>100000</v>
      </c>
      <c r="L10" s="12" t="s">
        <v>523</v>
      </c>
    </row>
    <row r="11" spans="1:12" ht="30" customHeight="1" x14ac:dyDescent="0.25">
      <c r="A11" s="59" t="s">
        <v>514</v>
      </c>
      <c r="B11" s="11" t="s">
        <v>524</v>
      </c>
      <c r="C11" s="60" t="s">
        <v>516</v>
      </c>
      <c r="D11" s="22">
        <v>30000</v>
      </c>
      <c r="E11" s="16">
        <f t="shared" si="0"/>
        <v>30000</v>
      </c>
      <c r="F11" s="61">
        <v>0</v>
      </c>
      <c r="G11" s="61">
        <v>3</v>
      </c>
      <c r="H11" s="61">
        <v>5</v>
      </c>
      <c r="I11" s="16">
        <f t="shared" si="1"/>
        <v>0</v>
      </c>
      <c r="J11" s="16">
        <f t="shared" si="2"/>
        <v>90000</v>
      </c>
      <c r="K11" s="16">
        <f t="shared" si="3"/>
        <v>150000</v>
      </c>
      <c r="L11" s="12" t="s">
        <v>525</v>
      </c>
    </row>
    <row r="12" spans="1:12" ht="30" customHeight="1" x14ac:dyDescent="0.25">
      <c r="A12" s="59" t="s">
        <v>526</v>
      </c>
      <c r="B12" s="11" t="s">
        <v>527</v>
      </c>
      <c r="C12" s="60" t="s">
        <v>516</v>
      </c>
      <c r="D12" s="22">
        <v>100000</v>
      </c>
      <c r="E12" s="16">
        <f t="shared" si="0"/>
        <v>100000</v>
      </c>
      <c r="F12" s="61">
        <v>1</v>
      </c>
      <c r="G12" s="61">
        <v>1</v>
      </c>
      <c r="H12" s="61">
        <v>1</v>
      </c>
      <c r="I12" s="16">
        <f t="shared" si="1"/>
        <v>100000</v>
      </c>
      <c r="J12" s="16">
        <f t="shared" si="2"/>
        <v>100000</v>
      </c>
      <c r="K12" s="16">
        <f t="shared" si="3"/>
        <v>100000</v>
      </c>
      <c r="L12" s="12" t="s">
        <v>528</v>
      </c>
    </row>
    <row r="13" spans="1:12" ht="30" customHeight="1" x14ac:dyDescent="0.25">
      <c r="A13" s="59" t="s">
        <v>526</v>
      </c>
      <c r="B13" s="11" t="s">
        <v>529</v>
      </c>
      <c r="C13" s="60" t="s">
        <v>516</v>
      </c>
      <c r="D13" s="22">
        <v>300000</v>
      </c>
      <c r="E13" s="16">
        <f t="shared" si="0"/>
        <v>300000</v>
      </c>
      <c r="F13" s="61">
        <v>0</v>
      </c>
      <c r="G13" s="61">
        <v>0</v>
      </c>
      <c r="H13" s="61">
        <v>1</v>
      </c>
      <c r="I13" s="16">
        <f t="shared" si="1"/>
        <v>0</v>
      </c>
      <c r="J13" s="16">
        <f t="shared" si="2"/>
        <v>0</v>
      </c>
      <c r="K13" s="16">
        <f t="shared" si="3"/>
        <v>300000</v>
      </c>
      <c r="L13" s="12" t="s">
        <v>530</v>
      </c>
    </row>
    <row r="14" spans="1:12" ht="30" customHeight="1" x14ac:dyDescent="0.25">
      <c r="A14" s="59" t="s">
        <v>526</v>
      </c>
      <c r="B14" s="11" t="s">
        <v>531</v>
      </c>
      <c r="C14" s="60" t="s">
        <v>516</v>
      </c>
      <c r="D14" s="22">
        <v>50000</v>
      </c>
      <c r="E14" s="16">
        <f t="shared" si="0"/>
        <v>50000</v>
      </c>
      <c r="F14" s="61">
        <v>1</v>
      </c>
      <c r="G14" s="61">
        <v>1</v>
      </c>
      <c r="H14" s="61">
        <v>1</v>
      </c>
      <c r="I14" s="16">
        <f t="shared" si="1"/>
        <v>50000</v>
      </c>
      <c r="J14" s="16">
        <f t="shared" si="2"/>
        <v>50000</v>
      </c>
      <c r="K14" s="16">
        <f t="shared" si="3"/>
        <v>50000</v>
      </c>
      <c r="L14" s="12" t="s">
        <v>532</v>
      </c>
    </row>
    <row r="15" spans="1:12" ht="30" customHeight="1" x14ac:dyDescent="0.25">
      <c r="A15" s="59" t="s">
        <v>526</v>
      </c>
      <c r="B15" s="11" t="s">
        <v>533</v>
      </c>
      <c r="C15" s="60" t="s">
        <v>516</v>
      </c>
      <c r="D15" s="22">
        <v>400000</v>
      </c>
      <c r="E15" s="16">
        <f t="shared" si="0"/>
        <v>400000</v>
      </c>
      <c r="F15" s="61">
        <v>0</v>
      </c>
      <c r="G15" s="61">
        <v>0</v>
      </c>
      <c r="H15" s="61">
        <v>1</v>
      </c>
      <c r="I15" s="16">
        <f t="shared" si="1"/>
        <v>0</v>
      </c>
      <c r="J15" s="16">
        <f t="shared" si="2"/>
        <v>0</v>
      </c>
      <c r="K15" s="16">
        <f t="shared" si="3"/>
        <v>400000</v>
      </c>
      <c r="L15" s="12" t="s">
        <v>534</v>
      </c>
    </row>
    <row r="16" spans="1:12" ht="30" customHeight="1" x14ac:dyDescent="0.25">
      <c r="A16" s="59" t="s">
        <v>526</v>
      </c>
      <c r="B16" s="11" t="s">
        <v>535</v>
      </c>
      <c r="C16" s="60" t="s">
        <v>516</v>
      </c>
      <c r="D16" s="22">
        <v>80000</v>
      </c>
      <c r="E16" s="16">
        <f t="shared" si="0"/>
        <v>80000</v>
      </c>
      <c r="F16" s="61">
        <v>1</v>
      </c>
      <c r="G16" s="61">
        <v>1</v>
      </c>
      <c r="H16" s="61">
        <v>1</v>
      </c>
      <c r="I16" s="16">
        <f t="shared" si="1"/>
        <v>80000</v>
      </c>
      <c r="J16" s="16">
        <f t="shared" si="2"/>
        <v>80000</v>
      </c>
      <c r="K16" s="16">
        <f t="shared" si="3"/>
        <v>80000</v>
      </c>
      <c r="L16" s="12" t="s">
        <v>536</v>
      </c>
    </row>
    <row r="17" spans="1:12" ht="30" customHeight="1" x14ac:dyDescent="0.25">
      <c r="A17" s="59" t="s">
        <v>526</v>
      </c>
      <c r="B17" s="11" t="s">
        <v>537</v>
      </c>
      <c r="C17" s="60" t="s">
        <v>516</v>
      </c>
      <c r="D17" s="22">
        <v>300000</v>
      </c>
      <c r="E17" s="16">
        <f t="shared" si="0"/>
        <v>300000</v>
      </c>
      <c r="F17" s="61">
        <v>0</v>
      </c>
      <c r="G17" s="61">
        <v>1</v>
      </c>
      <c r="H17" s="61">
        <v>1</v>
      </c>
      <c r="I17" s="16">
        <f t="shared" si="1"/>
        <v>0</v>
      </c>
      <c r="J17" s="16">
        <f t="shared" si="2"/>
        <v>300000</v>
      </c>
      <c r="K17" s="16">
        <f t="shared" si="3"/>
        <v>300000</v>
      </c>
      <c r="L17" s="12" t="s">
        <v>538</v>
      </c>
    </row>
    <row r="18" spans="1:12" ht="30" customHeight="1" x14ac:dyDescent="0.25">
      <c r="A18" s="59" t="s">
        <v>526</v>
      </c>
      <c r="B18" s="11" t="s">
        <v>539</v>
      </c>
      <c r="C18" s="60" t="s">
        <v>540</v>
      </c>
      <c r="D18" s="16">
        <f>INDEX('Thông số'!$B$6:$B$10,MATCH("Senior Dev",'Thông số'!$A$6:$A$10,0))*'Thông số'!$B$26/8</f>
        <v>175000</v>
      </c>
      <c r="E18" s="16">
        <f t="shared" si="0"/>
        <v>175000</v>
      </c>
      <c r="F18" s="61">
        <v>1</v>
      </c>
      <c r="G18" s="61">
        <v>5</v>
      </c>
      <c r="H18" s="61">
        <v>10</v>
      </c>
      <c r="I18" s="16">
        <f t="shared" si="1"/>
        <v>175000</v>
      </c>
      <c r="J18" s="16">
        <f t="shared" si="2"/>
        <v>875000</v>
      </c>
      <c r="K18" s="16">
        <f t="shared" si="3"/>
        <v>1750000</v>
      </c>
      <c r="L18" s="12" t="s">
        <v>541</v>
      </c>
    </row>
    <row r="19" spans="1:12" ht="30" customHeight="1" x14ac:dyDescent="0.25">
      <c r="A19" s="59" t="s">
        <v>526</v>
      </c>
      <c r="B19" s="11" t="s">
        <v>542</v>
      </c>
      <c r="C19" s="60" t="s">
        <v>540</v>
      </c>
      <c r="D19" s="16">
        <f>INDEX('Thông số'!$B$6:$B$10,MATCH("Senior Dev",'Thông số'!$A$6:$A$10,0))*'Thông số'!$B$26/8</f>
        <v>175000</v>
      </c>
      <c r="E19" s="16">
        <f t="shared" si="0"/>
        <v>175000</v>
      </c>
      <c r="F19" s="61">
        <v>0</v>
      </c>
      <c r="G19" s="61">
        <v>3</v>
      </c>
      <c r="H19" s="61">
        <v>8</v>
      </c>
      <c r="I19" s="16">
        <f t="shared" si="1"/>
        <v>0</v>
      </c>
      <c r="J19" s="16">
        <f t="shared" si="2"/>
        <v>525000</v>
      </c>
      <c r="K19" s="16">
        <f t="shared" si="3"/>
        <v>1400000</v>
      </c>
      <c r="L19" s="12" t="s">
        <v>543</v>
      </c>
    </row>
    <row r="20" spans="1:12" ht="30" customHeight="1" x14ac:dyDescent="0.25">
      <c r="A20" s="59" t="s">
        <v>526</v>
      </c>
      <c r="B20" s="11" t="s">
        <v>544</v>
      </c>
      <c r="C20" s="60" t="s">
        <v>516</v>
      </c>
      <c r="D20" s="22">
        <v>200000</v>
      </c>
      <c r="E20" s="16">
        <f t="shared" si="0"/>
        <v>200000</v>
      </c>
      <c r="F20" s="61">
        <v>0</v>
      </c>
      <c r="G20" s="61">
        <v>1</v>
      </c>
      <c r="H20" s="61">
        <v>1</v>
      </c>
      <c r="I20" s="16">
        <f t="shared" si="1"/>
        <v>0</v>
      </c>
      <c r="J20" s="16">
        <f t="shared" si="2"/>
        <v>200000</v>
      </c>
      <c r="K20" s="16">
        <f t="shared" si="3"/>
        <v>200000</v>
      </c>
      <c r="L20" s="12" t="s">
        <v>545</v>
      </c>
    </row>
    <row r="21" spans="1:12" ht="30" customHeight="1" x14ac:dyDescent="0.25">
      <c r="A21" s="43" t="s">
        <v>546</v>
      </c>
      <c r="B21" s="42"/>
      <c r="C21" s="42"/>
      <c r="D21" s="42"/>
      <c r="E21" s="42"/>
      <c r="F21" s="42"/>
      <c r="G21" s="42"/>
      <c r="H21" s="42"/>
      <c r="I21" s="62" t="s">
        <v>547</v>
      </c>
      <c r="J21" s="62" t="s">
        <v>548</v>
      </c>
      <c r="K21" s="62" t="s">
        <v>549</v>
      </c>
      <c r="L21" s="42"/>
    </row>
    <row r="22" spans="1:12" x14ac:dyDescent="0.25">
      <c r="A22" s="21" t="s">
        <v>550</v>
      </c>
      <c r="B22" s="19"/>
      <c r="C22" s="19"/>
      <c r="D22" s="19"/>
      <c r="E22" s="19"/>
      <c r="F22" s="19"/>
      <c r="G22" s="19"/>
      <c r="H22" s="19"/>
      <c r="I22" s="20">
        <f>SUMIF($A$6:$A$20,"A. Hạ tầng (chuyển tiếp theo hóa đơn)",I6:I20)</f>
        <v>133333.33333333334</v>
      </c>
      <c r="J22" s="20">
        <f>SUMIF($A$6:$A$20,"A. Hạ tầng (chuyển tiếp theo hóa đơn)",J6:J20)</f>
        <v>523333.33333333331</v>
      </c>
      <c r="K22" s="20">
        <f>SUMIF($A$6:$A$20,"A. Hạ tầng (chuyển tiếp theo hóa đơn)",K6:K20)</f>
        <v>983333.33333333337</v>
      </c>
      <c r="L22" s="19"/>
    </row>
    <row r="23" spans="1:12" x14ac:dyDescent="0.25">
      <c r="A23" s="21" t="s">
        <v>551</v>
      </c>
      <c r="B23" s="19"/>
      <c r="C23" s="19"/>
      <c r="D23" s="19"/>
      <c r="E23" s="19"/>
      <c r="F23" s="19"/>
      <c r="G23" s="19"/>
      <c r="H23" s="19"/>
      <c r="I23" s="20">
        <f>SUMIF($A$6:$A$20,"B. Dịch vụ vận hành (phí dịch vụ)",I6:I20)</f>
        <v>405000</v>
      </c>
      <c r="J23" s="20">
        <f>SUMIF($A$6:$A$20,"B. Dịch vụ vận hành (phí dịch vụ)",J6:J20)</f>
        <v>2130000</v>
      </c>
      <c r="K23" s="20">
        <f>SUMIF($A$6:$A$20,"B. Dịch vụ vận hành (phí dịch vụ)",K6:K20)</f>
        <v>4580000</v>
      </c>
      <c r="L23" s="19"/>
    </row>
    <row r="24" spans="1:12" x14ac:dyDescent="0.25">
      <c r="A24" s="52" t="s">
        <v>500</v>
      </c>
      <c r="B24" s="63"/>
      <c r="C24" s="63"/>
      <c r="D24" s="63"/>
      <c r="E24" s="63"/>
      <c r="F24" s="63"/>
      <c r="G24" s="63"/>
      <c r="H24" s="63"/>
      <c r="I24" s="53">
        <f>I22+I23</f>
        <v>538333.33333333337</v>
      </c>
      <c r="J24" s="53">
        <f>J22+J23</f>
        <v>2653333.3333333335</v>
      </c>
      <c r="K24" s="53">
        <f>K22+K23</f>
        <v>5563333.333333333</v>
      </c>
      <c r="L24" s="63"/>
    </row>
    <row r="25" spans="1:12" x14ac:dyDescent="0.25">
      <c r="A25" s="21" t="s">
        <v>552</v>
      </c>
      <c r="B25" s="19"/>
      <c r="C25" s="19"/>
      <c r="D25" s="19"/>
      <c r="E25" s="19"/>
      <c r="F25" s="19"/>
      <c r="G25" s="19"/>
      <c r="H25" s="19"/>
      <c r="I25" s="20">
        <f>I24*12</f>
        <v>6460000</v>
      </c>
      <c r="J25" s="20">
        <f>J24*12</f>
        <v>31840000</v>
      </c>
      <c r="K25" s="20">
        <f>K24*12</f>
        <v>66760000</v>
      </c>
      <c r="L25" s="19"/>
    </row>
    <row r="27" spans="1:12" ht="30" customHeight="1" x14ac:dyDescent="0.25">
      <c r="A27" s="76" t="s">
        <v>553</v>
      </c>
      <c r="B27" s="77"/>
      <c r="C27" s="77"/>
      <c r="D27" s="77"/>
      <c r="E27" s="77"/>
      <c r="F27" s="77"/>
      <c r="G27" s="77"/>
      <c r="H27" s="77"/>
      <c r="I27" s="77"/>
      <c r="J27" s="77"/>
      <c r="K27" s="77"/>
      <c r="L27" s="77"/>
    </row>
  </sheetData>
  <mergeCells count="1">
    <mergeCell ref="A27:L27"/>
  </mergeCells>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0EA5E9"/>
    <pageSetUpPr fitToPage="1"/>
  </sheetPr>
  <dimension ref="A1:D52"/>
  <sheetViews>
    <sheetView showGridLines="0" workbookViewId="0">
      <selection activeCell="B42" sqref="B42:B43"/>
    </sheetView>
  </sheetViews>
  <sheetFormatPr defaultRowHeight="15" x14ac:dyDescent="0.25"/>
  <cols>
    <col min="1" max="1" width="24" customWidth="1"/>
    <col min="2" max="2" width="44" customWidth="1"/>
    <col min="3" max="3" width="14" customWidth="1"/>
    <col min="4" max="4" width="20" customWidth="1"/>
  </cols>
  <sheetData>
    <row r="1" spans="1:4" ht="23.25" x14ac:dyDescent="0.35">
      <c r="A1" s="64" t="s">
        <v>554</v>
      </c>
    </row>
    <row r="2" spans="1:4" x14ac:dyDescent="0.25">
      <c r="A2" s="48" t="s">
        <v>555</v>
      </c>
    </row>
    <row r="4" spans="1:4" x14ac:dyDescent="0.25">
      <c r="A4" s="43" t="s">
        <v>556</v>
      </c>
      <c r="B4" s="79" t="s">
        <v>557</v>
      </c>
      <c r="C4" s="80"/>
      <c r="D4" s="80"/>
    </row>
    <row r="5" spans="1:4" x14ac:dyDescent="0.25">
      <c r="A5" s="43" t="s">
        <v>558</v>
      </c>
      <c r="B5" s="79" t="s">
        <v>559</v>
      </c>
      <c r="C5" s="80"/>
      <c r="D5" s="80"/>
    </row>
    <row r="6" spans="1:4" x14ac:dyDescent="0.25">
      <c r="A6" s="43" t="s">
        <v>560</v>
      </c>
      <c r="B6" s="83">
        <v>46300</v>
      </c>
      <c r="C6" s="80"/>
      <c r="D6" s="80"/>
    </row>
    <row r="7" spans="1:4" x14ac:dyDescent="0.25">
      <c r="A7" s="43" t="s">
        <v>561</v>
      </c>
      <c r="B7" s="81">
        <f>B6+'Thông số'!$B$22</f>
        <v>46330</v>
      </c>
      <c r="C7" s="80"/>
      <c r="D7" s="80"/>
    </row>
    <row r="8" spans="1:4" x14ac:dyDescent="0.25">
      <c r="A8" s="43" t="s">
        <v>562</v>
      </c>
      <c r="B8" s="79" t="s">
        <v>563</v>
      </c>
      <c r="C8" s="80"/>
      <c r="D8" s="80"/>
    </row>
    <row r="9" spans="1:4" x14ac:dyDescent="0.25">
      <c r="A9" s="43" t="s">
        <v>465</v>
      </c>
      <c r="B9" s="79" t="s">
        <v>467</v>
      </c>
      <c r="C9" s="80"/>
      <c r="D9" s="80"/>
    </row>
    <row r="10" spans="1:4" x14ac:dyDescent="0.25">
      <c r="A10" s="43" t="s">
        <v>564</v>
      </c>
      <c r="B10" s="82">
        <v>0</v>
      </c>
      <c r="C10" s="80"/>
      <c r="D10" s="80"/>
    </row>
    <row r="12" spans="1:4" ht="32.1" customHeight="1" x14ac:dyDescent="0.25">
      <c r="A12" s="10" t="s">
        <v>432</v>
      </c>
      <c r="B12" s="10" t="s">
        <v>189</v>
      </c>
      <c r="C12" s="10" t="s">
        <v>192</v>
      </c>
      <c r="D12" s="10" t="s">
        <v>194</v>
      </c>
    </row>
    <row r="13" spans="1:4" x14ac:dyDescent="0.25">
      <c r="A13" s="18">
        <v>1</v>
      </c>
      <c r="B13" s="19" t="s">
        <v>206</v>
      </c>
      <c r="C13" s="65">
        <f>SUMIFS('Hạng mục'!$P$6:$P$76,'Hạng mục'!$B$6:$B$76,B13)</f>
        <v>8</v>
      </c>
      <c r="D13" s="16">
        <f>SUMIFS('Hạng mục'!$Q$6:$Q$76,'Hạng mục'!$B$6:$B$76,B13)</f>
        <v>9450000</v>
      </c>
    </row>
    <row r="14" spans="1:4" x14ac:dyDescent="0.25">
      <c r="A14" s="18">
        <v>2</v>
      </c>
      <c r="B14" s="19" t="s">
        <v>222</v>
      </c>
      <c r="C14" s="65">
        <f>SUMIFS('Hạng mục'!$P$6:$P$76,'Hạng mục'!$B$6:$B$76,B14)</f>
        <v>14</v>
      </c>
      <c r="D14" s="16">
        <f>SUMIFS('Hạng mục'!$Q$6:$Q$76,'Hạng mục'!$B$6:$B$76,B14)</f>
        <v>14700000</v>
      </c>
    </row>
    <row r="15" spans="1:4" x14ac:dyDescent="0.25">
      <c r="A15" s="18">
        <v>3</v>
      </c>
      <c r="B15" s="19" t="s">
        <v>244</v>
      </c>
      <c r="C15" s="65">
        <f>SUMIFS('Hạng mục'!$P$6:$P$76,'Hạng mục'!$B$6:$B$76,B15)</f>
        <v>16.5</v>
      </c>
      <c r="D15" s="16">
        <f>SUMIFS('Hạng mục'!$Q$6:$Q$76,'Hạng mục'!$B$6:$B$76,B15)</f>
        <v>23100000</v>
      </c>
    </row>
    <row r="16" spans="1:4" x14ac:dyDescent="0.25">
      <c r="A16" s="18">
        <v>4</v>
      </c>
      <c r="B16" s="19" t="s">
        <v>269</v>
      </c>
      <c r="C16" s="65">
        <f>SUMIFS('Hạng mục'!$P$6:$P$76,'Hạng mục'!$B$6:$B$76,B16)</f>
        <v>9</v>
      </c>
      <c r="D16" s="16">
        <f>SUMIFS('Hạng mục'!$Q$6:$Q$76,'Hạng mục'!$B$6:$B$76,B16)</f>
        <v>12600000</v>
      </c>
    </row>
    <row r="17" spans="1:4" x14ac:dyDescent="0.25">
      <c r="A17" s="18">
        <v>5</v>
      </c>
      <c r="B17" s="19" t="s">
        <v>290</v>
      </c>
      <c r="C17" s="65">
        <f>SUMIFS('Hạng mục'!$P$6:$P$76,'Hạng mục'!$B$6:$B$76,B17)</f>
        <v>15</v>
      </c>
      <c r="D17" s="16">
        <f>SUMIFS('Hạng mục'!$Q$6:$Q$76,'Hạng mục'!$B$6:$B$76,B17)</f>
        <v>21000000</v>
      </c>
    </row>
    <row r="18" spans="1:4" x14ac:dyDescent="0.25">
      <c r="A18" s="18">
        <v>6</v>
      </c>
      <c r="B18" s="19" t="s">
        <v>303</v>
      </c>
      <c r="C18" s="65">
        <f>SUMIFS('Hạng mục'!$P$6:$P$76,'Hạng mục'!$B$6:$B$76,B18)</f>
        <v>0</v>
      </c>
      <c r="D18" s="16">
        <f>SUMIFS('Hạng mục'!$Q$6:$Q$76,'Hạng mục'!$B$6:$B$76,B18)</f>
        <v>0</v>
      </c>
    </row>
    <row r="19" spans="1:4" x14ac:dyDescent="0.25">
      <c r="A19" s="18">
        <v>7</v>
      </c>
      <c r="B19" s="19" t="s">
        <v>322</v>
      </c>
      <c r="C19" s="65">
        <f>SUMIFS('Hạng mục'!$P$6:$P$76,'Hạng mục'!$B$6:$B$76,B19)</f>
        <v>0</v>
      </c>
      <c r="D19" s="16">
        <f>SUMIFS('Hạng mục'!$Q$6:$Q$76,'Hạng mục'!$B$6:$B$76,B19)</f>
        <v>0</v>
      </c>
    </row>
    <row r="20" spans="1:4" x14ac:dyDescent="0.25">
      <c r="A20" s="18">
        <v>8</v>
      </c>
      <c r="B20" s="19" t="s">
        <v>347</v>
      </c>
      <c r="C20" s="65">
        <f>SUMIFS('Hạng mục'!$P$6:$P$76,'Hạng mục'!$B$6:$B$76,B20)</f>
        <v>0</v>
      </c>
      <c r="D20" s="16">
        <f>SUMIFS('Hạng mục'!$Q$6:$Q$76,'Hạng mục'!$B$6:$B$76,B20)</f>
        <v>0</v>
      </c>
    </row>
    <row r="21" spans="1:4" x14ac:dyDescent="0.25">
      <c r="A21" s="18">
        <v>9</v>
      </c>
      <c r="B21" s="19" t="s">
        <v>363</v>
      </c>
      <c r="C21" s="65">
        <f>SUMIFS('Hạng mục'!$P$6:$P$76,'Hạng mục'!$B$6:$B$76,B21)</f>
        <v>1</v>
      </c>
      <c r="D21" s="16">
        <f>SUMIFS('Hạng mục'!$Q$6:$Q$76,'Hạng mục'!$B$6:$B$76,B21)</f>
        <v>1400000</v>
      </c>
    </row>
    <row r="22" spans="1:4" x14ac:dyDescent="0.25">
      <c r="A22" s="18">
        <v>10</v>
      </c>
      <c r="B22" s="19" t="s">
        <v>384</v>
      </c>
      <c r="C22" s="65">
        <f>SUMIFS('Hạng mục'!$P$6:$P$76,'Hạng mục'!$B$6:$B$76,B22)</f>
        <v>5.5</v>
      </c>
      <c r="D22" s="16">
        <f>SUMIFS('Hạng mục'!$Q$6:$Q$76,'Hạng mục'!$B$6:$B$76,B22)</f>
        <v>6650000</v>
      </c>
    </row>
    <row r="23" spans="1:4" x14ac:dyDescent="0.25">
      <c r="A23" s="18">
        <v>11</v>
      </c>
      <c r="B23" s="19" t="s">
        <v>400</v>
      </c>
      <c r="C23" s="65">
        <f>SUMIFS('Hạng mục'!$P$6:$P$76,'Hạng mục'!$B$6:$B$76,B23)</f>
        <v>6.5</v>
      </c>
      <c r="D23" s="16">
        <f>SUMIFS('Hạng mục'!$Q$6:$Q$76,'Hạng mục'!$B$6:$B$76,B23)</f>
        <v>9100000</v>
      </c>
    </row>
    <row r="24" spans="1:4" x14ac:dyDescent="0.25">
      <c r="A24" s="18">
        <v>12</v>
      </c>
      <c r="B24" s="19" t="s">
        <v>416</v>
      </c>
      <c r="C24" s="65">
        <f>SUMIFS('Hạng mục'!$P$6:$P$76,'Hạng mục'!$B$6:$B$76,B24)</f>
        <v>4.5</v>
      </c>
      <c r="D24" s="16">
        <f>SUMIFS('Hạng mục'!$Q$6:$Q$76,'Hạng mục'!$B$6:$B$76,B24)</f>
        <v>4900000</v>
      </c>
    </row>
    <row r="25" spans="1:4" x14ac:dyDescent="0.25">
      <c r="A25" s="42"/>
      <c r="B25" s="43" t="s">
        <v>565</v>
      </c>
      <c r="C25" s="45">
        <f>SUM(C13:C24)</f>
        <v>80</v>
      </c>
      <c r="D25" s="46">
        <f>SUM(D13:D24)</f>
        <v>102900000</v>
      </c>
    </row>
    <row r="26" spans="1:4" x14ac:dyDescent="0.25">
      <c r="A26" s="19"/>
      <c r="B26" s="19" t="s">
        <v>493</v>
      </c>
      <c r="C26" s="19"/>
      <c r="D26" s="16">
        <f>D25*'Thông số'!$B$14</f>
        <v>8232000</v>
      </c>
    </row>
    <row r="27" spans="1:4" x14ac:dyDescent="0.25">
      <c r="A27" s="19"/>
      <c r="B27" s="19" t="s">
        <v>494</v>
      </c>
      <c r="C27" s="19"/>
      <c r="D27" s="16">
        <f>(D25+D26)*'Thông số'!$B$15</f>
        <v>11113200</v>
      </c>
    </row>
    <row r="28" spans="1:4" x14ac:dyDescent="0.25">
      <c r="A28" s="19"/>
      <c r="B28" s="19" t="s">
        <v>566</v>
      </c>
      <c r="C28" s="19"/>
      <c r="D28" s="16">
        <f>-(D25+D26+D27)*$B$10</f>
        <v>0</v>
      </c>
    </row>
    <row r="29" spans="1:4" x14ac:dyDescent="0.25">
      <c r="A29" s="42"/>
      <c r="B29" s="43" t="s">
        <v>495</v>
      </c>
      <c r="C29" s="42"/>
      <c r="D29" s="46">
        <f>SUM(D25:D28)</f>
        <v>122245200</v>
      </c>
    </row>
    <row r="30" spans="1:4" x14ac:dyDescent="0.25">
      <c r="A30" s="19"/>
      <c r="B30" s="19" t="s">
        <v>461</v>
      </c>
      <c r="C30" s="19"/>
      <c r="D30" s="16">
        <f>D29*'Thông số'!$B$16</f>
        <v>12224520</v>
      </c>
    </row>
    <row r="31" spans="1:4" x14ac:dyDescent="0.25">
      <c r="A31" s="42"/>
      <c r="B31" s="52" t="s">
        <v>462</v>
      </c>
      <c r="C31" s="42"/>
      <c r="D31" s="53">
        <f>D29+D30</f>
        <v>134469720</v>
      </c>
    </row>
    <row r="33" spans="1:4" x14ac:dyDescent="0.25">
      <c r="B33" s="9" t="s">
        <v>567</v>
      </c>
    </row>
    <row r="34" spans="1:4" ht="32.1" customHeight="1" x14ac:dyDescent="0.25">
      <c r="A34" s="10" t="s">
        <v>568</v>
      </c>
      <c r="B34" s="10" t="s">
        <v>569</v>
      </c>
      <c r="C34" s="10" t="s">
        <v>570</v>
      </c>
      <c r="D34" s="10" t="s">
        <v>571</v>
      </c>
    </row>
    <row r="35" spans="1:4" x14ac:dyDescent="0.25">
      <c r="A35" s="18" t="s">
        <v>3</v>
      </c>
      <c r="B35" s="19" t="s">
        <v>572</v>
      </c>
      <c r="C35" s="66">
        <f>'Thông số'!$B$19</f>
        <v>0.3</v>
      </c>
      <c r="D35" s="16">
        <f>$D$31*C35</f>
        <v>40340916</v>
      </c>
    </row>
    <row r="36" spans="1:4" x14ac:dyDescent="0.25">
      <c r="A36" s="18" t="s">
        <v>5</v>
      </c>
      <c r="B36" s="19" t="s">
        <v>573</v>
      </c>
      <c r="C36" s="66">
        <f>'Thông số'!$B$20</f>
        <v>0.4</v>
      </c>
      <c r="D36" s="16">
        <f>$D$31*C36</f>
        <v>53787888</v>
      </c>
    </row>
    <row r="37" spans="1:4" x14ac:dyDescent="0.25">
      <c r="A37" s="18" t="s">
        <v>7</v>
      </c>
      <c r="B37" s="19" t="s">
        <v>574</v>
      </c>
      <c r="C37" s="66">
        <f>'Thông số'!$B$21</f>
        <v>0.3</v>
      </c>
      <c r="D37" s="16">
        <f>$D$31*C37</f>
        <v>40340916</v>
      </c>
    </row>
    <row r="38" spans="1:4" x14ac:dyDescent="0.25">
      <c r="A38" s="19"/>
      <c r="B38" s="43" t="s">
        <v>575</v>
      </c>
      <c r="C38" s="67">
        <f>SUM(C35:C37)</f>
        <v>1</v>
      </c>
      <c r="D38" s="46">
        <f>SUM(D35:D37)</f>
        <v>134469720</v>
      </c>
    </row>
    <row r="40" spans="1:4" x14ac:dyDescent="0.25">
      <c r="B40" s="9" t="s">
        <v>576</v>
      </c>
    </row>
    <row r="41" spans="1:4" ht="32.1" customHeight="1" x14ac:dyDescent="0.25">
      <c r="A41" s="10"/>
      <c r="B41" s="10" t="s">
        <v>577</v>
      </c>
      <c r="C41" s="10"/>
      <c r="D41" s="10" t="s">
        <v>578</v>
      </c>
    </row>
    <row r="42" spans="1:4" ht="25.5" x14ac:dyDescent="0.25">
      <c r="A42" s="19"/>
      <c r="B42" s="6" t="s">
        <v>579</v>
      </c>
      <c r="C42" s="19"/>
      <c r="D42" s="16">
        <f>INDEX('Vận hành'!$I$22:$K$22,MATCH($B$9,'Vận hành'!$I$5:$K$5,0))</f>
        <v>523333.33333333331</v>
      </c>
    </row>
    <row r="43" spans="1:4" x14ac:dyDescent="0.25">
      <c r="A43" s="19"/>
      <c r="B43" s="6" t="s">
        <v>580</v>
      </c>
      <c r="C43" s="19"/>
      <c r="D43" s="16">
        <f>INDEX('Vận hành'!$I$23:$K$23,MATCH($B$9,'Vận hành'!$I$5:$K$5,0))</f>
        <v>2130000</v>
      </c>
    </row>
    <row r="44" spans="1:4" x14ac:dyDescent="0.25">
      <c r="A44" s="42"/>
      <c r="B44" s="43" t="str">
        <f>"Tổng phí hàng tháng, gói "&amp;B9</f>
        <v>Tổng phí hàng tháng, gói Tiêu chuẩn</v>
      </c>
      <c r="C44" s="42"/>
      <c r="D44" s="53">
        <f>D42+D43</f>
        <v>2653333.3333333335</v>
      </c>
    </row>
    <row r="46" spans="1:4" x14ac:dyDescent="0.25">
      <c r="B46" s="9" t="s">
        <v>581</v>
      </c>
    </row>
    <row r="47" spans="1:4" ht="27.95" customHeight="1" x14ac:dyDescent="0.25">
      <c r="B47" s="78" t="str">
        <f>"1. Báo giá có hiệu lực "&amp;'Thông số'!$B$22&amp;" ngày kể từ ngày báo giá."</f>
        <v>1. Báo giá có hiệu lực 30 ngày kể từ ngày báo giá.</v>
      </c>
      <c r="C47" s="77"/>
      <c r="D47" s="77"/>
    </row>
    <row r="48" spans="1:4" ht="27.95" customHeight="1" x14ac:dyDescent="0.25">
      <c r="B48" s="78" t="str">
        <f>"2. Mỗi giai đoạn thiết kế gồm tối đa "&amp;'Thông số'!$B$23&amp;" vòng chỉnh sửa. Vòng thêm và yêu cầu phát sinh được báo giá riêng theo đơn giá ngày công."</f>
        <v>2. Mỗi giai đoạn thiết kế gồm tối đa 2 vòng chỉnh sửa. Vòng thêm và yêu cầu phát sinh được báo giá riêng theo đơn giá ngày công.</v>
      </c>
      <c r="C48" s="77"/>
      <c r="D48" s="77"/>
    </row>
    <row r="49" spans="2:4" ht="27.95" customHeight="1" x14ac:dyDescent="0.25">
      <c r="B49" s="78" t="str">
        <f>"3. Bảo hành lỗi trong "&amp;'Thông số'!$B$24&amp;" ngày kể từ ngày nghiệm thu."</f>
        <v>3. Bảo hành lỗi trong 30 ngày kể từ ngày nghiệm thu.</v>
      </c>
      <c r="C49" s="77"/>
      <c r="D49" s="77"/>
    </row>
    <row r="50" spans="2:4" ht="27.95" customHeight="1" x14ac:dyDescent="0.25">
      <c r="B50" s="78" t="s">
        <v>582</v>
      </c>
      <c r="C50" s="77"/>
      <c r="D50" s="77"/>
    </row>
    <row r="51" spans="2:4" ht="27.95" customHeight="1" x14ac:dyDescent="0.25">
      <c r="B51" s="78" t="s">
        <v>583</v>
      </c>
      <c r="C51" s="77"/>
      <c r="D51" s="77"/>
    </row>
    <row r="52" spans="2:4" ht="27.95" customHeight="1" x14ac:dyDescent="0.25">
      <c r="B52" s="78" t="s">
        <v>584</v>
      </c>
      <c r="C52" s="77"/>
      <c r="D52" s="77"/>
    </row>
  </sheetData>
  <mergeCells count="13">
    <mergeCell ref="B5:D5"/>
    <mergeCell ref="B8:D8"/>
    <mergeCell ref="B49:D49"/>
    <mergeCell ref="B4:D4"/>
    <mergeCell ref="B6:D6"/>
    <mergeCell ref="B50:D50"/>
    <mergeCell ref="B51:D51"/>
    <mergeCell ref="B9:D9"/>
    <mergeCell ref="B52:D52"/>
    <mergeCell ref="B7:D7"/>
    <mergeCell ref="B47:D47"/>
    <mergeCell ref="B48:D48"/>
    <mergeCell ref="B10:D10"/>
  </mergeCells>
  <dataValidations count="1">
    <dataValidation type="list" sqref="B9" xr:uid="{00000000-0002-0000-0800-000000000000}">
      <formula1>"Cơ bản,Tiêu chuẩn,Nâng cao"</formula1>
    </dataValidation>
  </dataValidations>
  <pageMargins left="0.75" right="0.75" top="1" bottom="1" header="0.5" footer="0.5"/>
  <pageSetup fitToHeight="0" orientation="portrai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0EA5E9"/>
    <pageSetUpPr fitToPage="1"/>
  </sheetPr>
  <dimension ref="A1:E75"/>
  <sheetViews>
    <sheetView showGridLines="0" workbookViewId="0"/>
  </sheetViews>
  <sheetFormatPr defaultRowHeight="15" x14ac:dyDescent="0.25"/>
  <cols>
    <col min="1" max="1" width="30" customWidth="1"/>
    <col min="2" max="2" width="50" customWidth="1"/>
    <col min="3" max="4" width="12" customWidth="1"/>
    <col min="5" max="5" width="22" customWidth="1"/>
  </cols>
  <sheetData>
    <row r="1" spans="1:5" ht="23.25" x14ac:dyDescent="0.35">
      <c r="A1" s="64" t="s">
        <v>554</v>
      </c>
    </row>
    <row r="2" spans="1:5" x14ac:dyDescent="0.25">
      <c r="A2" s="48" t="s">
        <v>431</v>
      </c>
    </row>
    <row r="4" spans="1:5" x14ac:dyDescent="0.25">
      <c r="A4" s="43" t="s">
        <v>556</v>
      </c>
      <c r="B4" s="79" t="s">
        <v>585</v>
      </c>
      <c r="C4" s="80"/>
      <c r="D4" s="80"/>
      <c r="E4" s="80"/>
    </row>
    <row r="5" spans="1:5" x14ac:dyDescent="0.25">
      <c r="A5" s="43" t="s">
        <v>586</v>
      </c>
      <c r="B5" s="79" t="s">
        <v>587</v>
      </c>
      <c r="C5" s="80"/>
      <c r="D5" s="80"/>
      <c r="E5" s="80"/>
    </row>
    <row r="6" spans="1:5" x14ac:dyDescent="0.25">
      <c r="A6" s="43" t="s">
        <v>558</v>
      </c>
      <c r="B6" s="79" t="s">
        <v>588</v>
      </c>
      <c r="C6" s="80"/>
      <c r="D6" s="80"/>
      <c r="E6" s="80"/>
    </row>
    <row r="7" spans="1:5" x14ac:dyDescent="0.25">
      <c r="A7" s="43" t="s">
        <v>560</v>
      </c>
      <c r="B7" s="83">
        <v>46300</v>
      </c>
      <c r="C7" s="80"/>
      <c r="D7" s="80"/>
      <c r="E7" s="80"/>
    </row>
    <row r="8" spans="1:5" x14ac:dyDescent="0.25">
      <c r="A8" s="43" t="s">
        <v>561</v>
      </c>
      <c r="B8" s="81">
        <f>B7+'Thông số'!$B$22</f>
        <v>46330</v>
      </c>
      <c r="C8" s="80"/>
      <c r="D8" s="80"/>
      <c r="E8" s="80"/>
    </row>
    <row r="9" spans="1:5" x14ac:dyDescent="0.25">
      <c r="A9" s="43" t="s">
        <v>562</v>
      </c>
      <c r="B9" s="79" t="s">
        <v>563</v>
      </c>
      <c r="C9" s="80"/>
      <c r="D9" s="80"/>
      <c r="E9" s="80"/>
    </row>
    <row r="10" spans="1:5" x14ac:dyDescent="0.25">
      <c r="A10" s="43" t="s">
        <v>465</v>
      </c>
      <c r="B10" s="79" t="s">
        <v>467</v>
      </c>
      <c r="C10" s="80"/>
      <c r="D10" s="80"/>
      <c r="E10" s="80"/>
    </row>
    <row r="11" spans="1:5" x14ac:dyDescent="0.25">
      <c r="A11" s="43" t="s">
        <v>564</v>
      </c>
      <c r="B11" s="82">
        <v>0</v>
      </c>
      <c r="C11" s="80"/>
      <c r="D11" s="80"/>
      <c r="E11" s="80"/>
    </row>
    <row r="13" spans="1:5" x14ac:dyDescent="0.25">
      <c r="A13" s="9" t="s">
        <v>589</v>
      </c>
    </row>
    <row r="14" spans="1:5" x14ac:dyDescent="0.25">
      <c r="A14" s="85" t="s">
        <v>590</v>
      </c>
      <c r="B14" s="80"/>
      <c r="C14" s="80"/>
      <c r="D14" s="80"/>
      <c r="E14" s="80"/>
    </row>
    <row r="15" spans="1:5" x14ac:dyDescent="0.25">
      <c r="A15" s="85" t="s">
        <v>591</v>
      </c>
      <c r="B15" s="80"/>
      <c r="C15" s="80"/>
      <c r="D15" s="80"/>
      <c r="E15" s="80"/>
    </row>
    <row r="16" spans="1:5" x14ac:dyDescent="0.25">
      <c r="A16" s="85" t="s">
        <v>592</v>
      </c>
      <c r="B16" s="80"/>
      <c r="C16" s="80"/>
      <c r="D16" s="80"/>
      <c r="E16" s="80"/>
    </row>
    <row r="17" spans="1:5" x14ac:dyDescent="0.25">
      <c r="A17" s="85" t="s">
        <v>593</v>
      </c>
      <c r="B17" s="80"/>
      <c r="C17" s="80"/>
      <c r="D17" s="80"/>
      <c r="E17" s="80"/>
    </row>
    <row r="19" spans="1:5" x14ac:dyDescent="0.25">
      <c r="A19" s="9" t="s">
        <v>594</v>
      </c>
    </row>
    <row r="20" spans="1:5" ht="32.1" customHeight="1" x14ac:dyDescent="0.25">
      <c r="A20" s="10" t="s">
        <v>432</v>
      </c>
      <c r="B20" s="10" t="s">
        <v>189</v>
      </c>
      <c r="C20" s="10" t="s">
        <v>595</v>
      </c>
      <c r="D20" s="10" t="s">
        <v>192</v>
      </c>
      <c r="E20" s="10" t="s">
        <v>194</v>
      </c>
    </row>
    <row r="21" spans="1:5" x14ac:dyDescent="0.25">
      <c r="A21" s="18">
        <v>1</v>
      </c>
      <c r="B21" s="19" t="s">
        <v>206</v>
      </c>
      <c r="C21" s="68">
        <f>SUMPRODUCT(('TT Anh ngữ ABC - Chi tiết'!$B$6:$B$76=B21)*'TT Anh ngữ ABC - Chi tiết'!$K$6:$K$76)</f>
        <v>5</v>
      </c>
      <c r="D21" s="65">
        <f>SUMPRODUCT(('TT Anh ngữ ABC - Chi tiết'!$B$6:$B$76=B21)*'TT Anh ngữ ABC - Chi tiết'!$H$6:$H$76*'TT Anh ngữ ABC - Chi tiết'!$K$6:$K$76)</f>
        <v>8</v>
      </c>
      <c r="E21" s="16">
        <f>SUMIFS('TT Anh ngữ ABC - Chi tiết'!$J$6:$J$76,'TT Anh ngữ ABC - Chi tiết'!$B$6:$B$76,B21)</f>
        <v>9450000</v>
      </c>
    </row>
    <row r="22" spans="1:5" x14ac:dyDescent="0.25">
      <c r="A22" s="18">
        <v>2</v>
      </c>
      <c r="B22" s="19" t="s">
        <v>222</v>
      </c>
      <c r="C22" s="68">
        <f>SUMPRODUCT(('TT Anh ngữ ABC - Chi tiết'!$B$6:$B$76=B22)*'TT Anh ngữ ABC - Chi tiết'!$K$6:$K$76)</f>
        <v>5</v>
      </c>
      <c r="D22" s="65">
        <f>SUMPRODUCT(('TT Anh ngữ ABC - Chi tiết'!$B$6:$B$76=B22)*'TT Anh ngữ ABC - Chi tiết'!$H$6:$H$76*'TT Anh ngữ ABC - Chi tiết'!$K$6:$K$76)</f>
        <v>17</v>
      </c>
      <c r="E22" s="16">
        <f>SUMIFS('TT Anh ngữ ABC - Chi tiết'!$J$6:$J$76,'TT Anh ngữ ABC - Chi tiết'!$B$6:$B$76,B22)</f>
        <v>17850000</v>
      </c>
    </row>
    <row r="23" spans="1:5" x14ac:dyDescent="0.25">
      <c r="A23" s="18">
        <v>3</v>
      </c>
      <c r="B23" s="19" t="s">
        <v>244</v>
      </c>
      <c r="C23" s="68">
        <f>SUMPRODUCT(('TT Anh ngữ ABC - Chi tiết'!$B$6:$B$76=B23)*'TT Anh ngữ ABC - Chi tiết'!$K$6:$K$76)</f>
        <v>5</v>
      </c>
      <c r="D23" s="65">
        <f>SUMPRODUCT(('TT Anh ngữ ABC - Chi tiết'!$B$6:$B$76=B23)*'TT Anh ngữ ABC - Chi tiết'!$H$6:$H$76*'TT Anh ngữ ABC - Chi tiết'!$K$6:$K$76)</f>
        <v>22.5</v>
      </c>
      <c r="E23" s="16">
        <f>SUMIFS('TT Anh ngữ ABC - Chi tiết'!$J$6:$J$76,'TT Anh ngữ ABC - Chi tiết'!$B$6:$B$76,B23)</f>
        <v>31500000</v>
      </c>
    </row>
    <row r="24" spans="1:5" x14ac:dyDescent="0.25">
      <c r="A24" s="18">
        <v>4</v>
      </c>
      <c r="B24" s="19" t="s">
        <v>269</v>
      </c>
      <c r="C24" s="68">
        <f>SUMPRODUCT(('TT Anh ngữ ABC - Chi tiết'!$B$6:$B$76=B24)*'TT Anh ngữ ABC - Chi tiết'!$K$6:$K$76)</f>
        <v>4</v>
      </c>
      <c r="D24" s="65">
        <f>SUMPRODUCT(('TT Anh ngữ ABC - Chi tiết'!$B$6:$B$76=B24)*'TT Anh ngữ ABC - Chi tiết'!$H$6:$H$76*'TT Anh ngữ ABC - Chi tiết'!$K$6:$K$76)</f>
        <v>14</v>
      </c>
      <c r="E24" s="16">
        <f>SUMIFS('TT Anh ngữ ABC - Chi tiết'!$J$6:$J$76,'TT Anh ngữ ABC - Chi tiết'!$B$6:$B$76,B24)</f>
        <v>19600000</v>
      </c>
    </row>
    <row r="25" spans="1:5" x14ac:dyDescent="0.25">
      <c r="A25" s="18">
        <v>5</v>
      </c>
      <c r="B25" s="19" t="s">
        <v>290</v>
      </c>
      <c r="C25" s="68">
        <f>SUMPRODUCT(('TT Anh ngữ ABC - Chi tiết'!$B$6:$B$76=B25)*'TT Anh ngữ ABC - Chi tiết'!$K$6:$K$76)</f>
        <v>4</v>
      </c>
      <c r="D25" s="65">
        <f>SUMPRODUCT(('TT Anh ngữ ABC - Chi tiết'!$B$6:$B$76=B25)*'TT Anh ngữ ABC - Chi tiết'!$H$6:$H$76*'TT Anh ngữ ABC - Chi tiết'!$K$6:$K$76)</f>
        <v>15</v>
      </c>
      <c r="E25" s="16">
        <f>SUMIFS('TT Anh ngữ ABC - Chi tiết'!$J$6:$J$76,'TT Anh ngữ ABC - Chi tiết'!$B$6:$B$76,B25)</f>
        <v>21000000</v>
      </c>
    </row>
    <row r="26" spans="1:5" x14ac:dyDescent="0.25">
      <c r="A26" s="18">
        <v>6</v>
      </c>
      <c r="B26" s="19" t="s">
        <v>303</v>
      </c>
      <c r="C26" s="68">
        <f>SUMPRODUCT(('TT Anh ngữ ABC - Chi tiết'!$B$6:$B$76=B26)*'TT Anh ngữ ABC - Chi tiết'!$K$6:$K$76)</f>
        <v>0</v>
      </c>
      <c r="D26" s="65">
        <f>SUMPRODUCT(('TT Anh ngữ ABC - Chi tiết'!$B$6:$B$76=B26)*'TT Anh ngữ ABC - Chi tiết'!$H$6:$H$76*'TT Anh ngữ ABC - Chi tiết'!$K$6:$K$76)</f>
        <v>0</v>
      </c>
      <c r="E26" s="16">
        <f>SUMIFS('TT Anh ngữ ABC - Chi tiết'!$J$6:$J$76,'TT Anh ngữ ABC - Chi tiết'!$B$6:$B$76,B26)</f>
        <v>0</v>
      </c>
    </row>
    <row r="27" spans="1:5" x14ac:dyDescent="0.25">
      <c r="A27" s="18">
        <v>7</v>
      </c>
      <c r="B27" s="19" t="s">
        <v>322</v>
      </c>
      <c r="C27" s="68">
        <f>SUMPRODUCT(('TT Anh ngữ ABC - Chi tiết'!$B$6:$B$76=B27)*'TT Anh ngữ ABC - Chi tiết'!$K$6:$K$76)</f>
        <v>6</v>
      </c>
      <c r="D27" s="65">
        <f>SUMPRODUCT(('TT Anh ngữ ABC - Chi tiết'!$B$6:$B$76=B27)*'TT Anh ngữ ABC - Chi tiết'!$H$6:$H$76*'TT Anh ngữ ABC - Chi tiết'!$K$6:$K$76)</f>
        <v>32</v>
      </c>
      <c r="E27" s="16">
        <f>SUMIFS('TT Anh ngữ ABC - Chi tiết'!$J$6:$J$76,'TT Anh ngữ ABC - Chi tiết'!$B$6:$B$76,B27)</f>
        <v>44800000</v>
      </c>
    </row>
    <row r="28" spans="1:5" x14ac:dyDescent="0.25">
      <c r="A28" s="18">
        <v>8</v>
      </c>
      <c r="B28" s="19" t="s">
        <v>347</v>
      </c>
      <c r="C28" s="68">
        <f>SUMPRODUCT(('TT Anh ngữ ABC - Chi tiết'!$B$6:$B$76=B28)*'TT Anh ngữ ABC - Chi tiết'!$K$6:$K$76)</f>
        <v>0</v>
      </c>
      <c r="D28" s="65">
        <f>SUMPRODUCT(('TT Anh ngữ ABC - Chi tiết'!$B$6:$B$76=B28)*'TT Anh ngữ ABC - Chi tiết'!$H$6:$H$76*'TT Anh ngữ ABC - Chi tiết'!$K$6:$K$76)</f>
        <v>0</v>
      </c>
      <c r="E28" s="16">
        <f>SUMIFS('TT Anh ngữ ABC - Chi tiết'!$J$6:$J$76,'TT Anh ngữ ABC - Chi tiết'!$B$6:$B$76,B28)</f>
        <v>0</v>
      </c>
    </row>
    <row r="29" spans="1:5" x14ac:dyDescent="0.25">
      <c r="A29" s="18">
        <v>9</v>
      </c>
      <c r="B29" s="19" t="s">
        <v>363</v>
      </c>
      <c r="C29" s="68">
        <f>SUMPRODUCT(('TT Anh ngữ ABC - Chi tiết'!$B$6:$B$76=B29)*'TT Anh ngữ ABC - Chi tiết'!$K$6:$K$76)</f>
        <v>2</v>
      </c>
      <c r="D29" s="65">
        <f>SUMPRODUCT(('TT Anh ngữ ABC - Chi tiết'!$B$6:$B$76=B29)*'TT Anh ngữ ABC - Chi tiết'!$H$6:$H$76*'TT Anh ngữ ABC - Chi tiết'!$K$6:$K$76)</f>
        <v>3</v>
      </c>
      <c r="E29" s="16">
        <f>SUMIFS('TT Anh ngữ ABC - Chi tiết'!$J$6:$J$76,'TT Anh ngữ ABC - Chi tiết'!$B$6:$B$76,B29)</f>
        <v>4200000</v>
      </c>
    </row>
    <row r="30" spans="1:5" x14ac:dyDescent="0.25">
      <c r="A30" s="18">
        <v>10</v>
      </c>
      <c r="B30" s="19" t="s">
        <v>384</v>
      </c>
      <c r="C30" s="68">
        <f>SUMPRODUCT(('TT Anh ngữ ABC - Chi tiết'!$B$6:$B$76=B30)*'TT Anh ngữ ABC - Chi tiết'!$K$6:$K$76)</f>
        <v>4</v>
      </c>
      <c r="D30" s="65">
        <f>SUMPRODUCT(('TT Anh ngữ ABC - Chi tiết'!$B$6:$B$76=B30)*'TT Anh ngữ ABC - Chi tiết'!$H$6:$H$76*'TT Anh ngữ ABC - Chi tiết'!$K$6:$K$76)</f>
        <v>13.5</v>
      </c>
      <c r="E30" s="16">
        <f>SUMIFS('TT Anh ngữ ABC - Chi tiết'!$J$6:$J$76,'TT Anh ngữ ABC - Chi tiết'!$B$6:$B$76,B30)</f>
        <v>12250000</v>
      </c>
    </row>
    <row r="31" spans="1:5" x14ac:dyDescent="0.25">
      <c r="A31" s="18">
        <v>11</v>
      </c>
      <c r="B31" s="19" t="s">
        <v>400</v>
      </c>
      <c r="C31" s="68">
        <f>SUMPRODUCT(('TT Anh ngữ ABC - Chi tiết'!$B$6:$B$76=B31)*'TT Anh ngữ ABC - Chi tiết'!$K$6:$K$76)</f>
        <v>4</v>
      </c>
      <c r="D31" s="65">
        <f>SUMPRODUCT(('TT Anh ngữ ABC - Chi tiết'!$B$6:$B$76=B31)*'TT Anh ngữ ABC - Chi tiết'!$H$6:$H$76*'TT Anh ngữ ABC - Chi tiết'!$K$6:$K$76)</f>
        <v>6.5</v>
      </c>
      <c r="E31" s="16">
        <f>SUMIFS('TT Anh ngữ ABC - Chi tiết'!$J$6:$J$76,'TT Anh ngữ ABC - Chi tiết'!$B$6:$B$76,B31)</f>
        <v>9100000</v>
      </c>
    </row>
    <row r="32" spans="1:5" x14ac:dyDescent="0.25">
      <c r="A32" s="18">
        <v>12</v>
      </c>
      <c r="B32" s="19" t="s">
        <v>416</v>
      </c>
      <c r="C32" s="68">
        <f>SUMPRODUCT(('TT Anh ngữ ABC - Chi tiết'!$B$6:$B$76=B32)*'TT Anh ngữ ABC - Chi tiết'!$K$6:$K$76)</f>
        <v>4</v>
      </c>
      <c r="D32" s="65">
        <f>SUMPRODUCT(('TT Anh ngữ ABC - Chi tiết'!$B$6:$B$76=B32)*'TT Anh ngữ ABC - Chi tiết'!$H$6:$H$76*'TT Anh ngữ ABC - Chi tiết'!$K$6:$K$76)</f>
        <v>4.5</v>
      </c>
      <c r="E32" s="16">
        <f>SUMIFS('TT Anh ngữ ABC - Chi tiết'!$J$6:$J$76,'TT Anh ngữ ABC - Chi tiết'!$B$6:$B$76,B32)</f>
        <v>4900000</v>
      </c>
    </row>
    <row r="33" spans="1:5" x14ac:dyDescent="0.25">
      <c r="A33" s="42"/>
      <c r="B33" s="43" t="s">
        <v>565</v>
      </c>
      <c r="C33" s="69">
        <f>SUM(C21:C32)</f>
        <v>43</v>
      </c>
      <c r="D33" s="45">
        <f>SUM(D21:D32)</f>
        <v>136</v>
      </c>
      <c r="E33" s="46">
        <f>SUM(E21:E32)</f>
        <v>174650000</v>
      </c>
    </row>
    <row r="34" spans="1:5" x14ac:dyDescent="0.25">
      <c r="A34" s="19"/>
      <c r="B34" s="19" t="s">
        <v>493</v>
      </c>
      <c r="C34" s="70"/>
      <c r="D34" s="65"/>
      <c r="E34" s="16">
        <f>E33*'Thông số'!$B$14</f>
        <v>13972000</v>
      </c>
    </row>
    <row r="35" spans="1:5" x14ac:dyDescent="0.25">
      <c r="A35" s="19"/>
      <c r="B35" s="19" t="s">
        <v>494</v>
      </c>
      <c r="C35" s="70"/>
      <c r="D35" s="65"/>
      <c r="E35" s="16">
        <f>(E33+E34)*'Thông số'!$B$15</f>
        <v>18862200</v>
      </c>
    </row>
    <row r="36" spans="1:5" x14ac:dyDescent="0.25">
      <c r="A36" s="19"/>
      <c r="B36" s="19" t="s">
        <v>566</v>
      </c>
      <c r="C36" s="70"/>
      <c r="D36" s="65"/>
      <c r="E36" s="16">
        <f>-(E33+E34+E35)*$B$11</f>
        <v>0</v>
      </c>
    </row>
    <row r="37" spans="1:5" x14ac:dyDescent="0.25">
      <c r="A37" s="42"/>
      <c r="B37" s="43" t="s">
        <v>495</v>
      </c>
      <c r="C37" s="69"/>
      <c r="D37" s="45"/>
      <c r="E37" s="46">
        <f>SUM(E33:E36)</f>
        <v>207484200</v>
      </c>
    </row>
    <row r="38" spans="1:5" x14ac:dyDescent="0.25">
      <c r="A38" s="19"/>
      <c r="B38" s="19" t="s">
        <v>461</v>
      </c>
      <c r="C38" s="70"/>
      <c r="D38" s="65"/>
      <c r="E38" s="16">
        <f>E37*'Thông số'!$B$16</f>
        <v>20748420</v>
      </c>
    </row>
    <row r="39" spans="1:5" x14ac:dyDescent="0.25">
      <c r="A39" s="63"/>
      <c r="B39" s="52" t="s">
        <v>596</v>
      </c>
      <c r="C39" s="71"/>
      <c r="D39" s="72"/>
      <c r="E39" s="53">
        <f>E37+E38</f>
        <v>228232620</v>
      </c>
    </row>
    <row r="41" spans="1:5" x14ac:dyDescent="0.25">
      <c r="A41" s="9" t="s">
        <v>567</v>
      </c>
    </row>
    <row r="42" spans="1:5" ht="32.1" customHeight="1" x14ac:dyDescent="0.25">
      <c r="A42" s="10" t="s">
        <v>568</v>
      </c>
      <c r="B42" s="10" t="s">
        <v>569</v>
      </c>
      <c r="C42" s="10" t="s">
        <v>570</v>
      </c>
      <c r="D42" s="10"/>
      <c r="E42" s="10" t="s">
        <v>571</v>
      </c>
    </row>
    <row r="43" spans="1:5" x14ac:dyDescent="0.25">
      <c r="A43" s="18" t="s">
        <v>3</v>
      </c>
      <c r="B43" s="19" t="s">
        <v>572</v>
      </c>
      <c r="C43" s="66">
        <f>'Thông số'!$B$19</f>
        <v>0.3</v>
      </c>
      <c r="D43" s="19"/>
      <c r="E43" s="16">
        <f>$E$39*C43</f>
        <v>68469786</v>
      </c>
    </row>
    <row r="44" spans="1:5" x14ac:dyDescent="0.25">
      <c r="A44" s="18" t="s">
        <v>5</v>
      </c>
      <c r="B44" s="19" t="s">
        <v>573</v>
      </c>
      <c r="C44" s="66">
        <f>'Thông số'!$B$20</f>
        <v>0.4</v>
      </c>
      <c r="D44" s="19"/>
      <c r="E44" s="16">
        <f>$E$39*C44</f>
        <v>91293048</v>
      </c>
    </row>
    <row r="45" spans="1:5" x14ac:dyDescent="0.25">
      <c r="A45" s="18" t="s">
        <v>7</v>
      </c>
      <c r="B45" s="19" t="s">
        <v>574</v>
      </c>
      <c r="C45" s="66">
        <f>'Thông số'!$B$21</f>
        <v>0.3</v>
      </c>
      <c r="D45" s="19"/>
      <c r="E45" s="16">
        <f>$E$39*C45</f>
        <v>68469786</v>
      </c>
    </row>
    <row r="46" spans="1:5" x14ac:dyDescent="0.25">
      <c r="A46" s="42"/>
      <c r="B46" s="43" t="s">
        <v>575</v>
      </c>
      <c r="C46" s="67">
        <f>SUM(C43:C45)</f>
        <v>1</v>
      </c>
      <c r="D46" s="42"/>
      <c r="E46" s="46">
        <f>SUM(E43:E45)</f>
        <v>228232620</v>
      </c>
    </row>
    <row r="48" spans="1:5" x14ac:dyDescent="0.25">
      <c r="A48" s="9" t="str">
        <f>"2. Phí hàng tháng sau go-live, gói "&amp;B10</f>
        <v>2. Phí hàng tháng sau go-live, gói Tiêu chuẩn</v>
      </c>
    </row>
    <row r="49" spans="1:5" ht="32.1" customHeight="1" x14ac:dyDescent="0.25">
      <c r="A49" s="10" t="s">
        <v>507</v>
      </c>
      <c r="B49" s="10" t="s">
        <v>113</v>
      </c>
      <c r="C49" s="10" t="s">
        <v>114</v>
      </c>
      <c r="D49" s="10"/>
      <c r="E49" s="10" t="s">
        <v>578</v>
      </c>
    </row>
    <row r="50" spans="1:5" x14ac:dyDescent="0.25">
      <c r="A50" s="73" t="str">
        <f>'Vận hành'!A6</f>
        <v>A. Hạ tầng (chuyển tiếp theo hóa đơn)</v>
      </c>
      <c r="B50" s="6" t="str">
        <f>'Vận hành'!B6</f>
        <v>VPS (máy chủ ảo cho ứng dụng, CMS, CRM)</v>
      </c>
      <c r="C50" s="18" t="str">
        <f>'Vận hành'!C6</f>
        <v>tháng</v>
      </c>
      <c r="D50" s="19"/>
      <c r="E50" s="16">
        <f>INDEX('Vận hành'!$I$6:$K$6,MATCH($B$10,'Vận hành'!$I$5:$K$5,0))</f>
        <v>350000</v>
      </c>
    </row>
    <row r="51" spans="1:5" x14ac:dyDescent="0.25">
      <c r="A51" s="73" t="str">
        <f>'Vận hành'!A7</f>
        <v>A. Hạ tầng (chuyển tiếp theo hóa đơn)</v>
      </c>
      <c r="B51" s="6" t="str">
        <f>'Vận hành'!B7</f>
        <v>Hosting website tĩnh / CDN</v>
      </c>
      <c r="C51" s="18" t="str">
        <f>'Vận hành'!C7</f>
        <v>tháng</v>
      </c>
      <c r="D51" s="19"/>
      <c r="E51" s="16">
        <f>INDEX('Vận hành'!$I$7:$K$7,MATCH($B$10,'Vận hành'!$I$5:$K$5,0))</f>
        <v>0</v>
      </c>
    </row>
    <row r="52" spans="1:5" x14ac:dyDescent="0.25">
      <c r="A52" s="73" t="str">
        <f>'Vận hành'!A8</f>
        <v>A. Hạ tầng (chuyển tiếp theo hóa đơn)</v>
      </c>
      <c r="B52" s="6" t="str">
        <f>'Vận hành'!B8</f>
        <v>Tên miền (.com / .vn)</v>
      </c>
      <c r="C52" s="18" t="str">
        <f>'Vận hành'!C8</f>
        <v>năm</v>
      </c>
      <c r="D52" s="19"/>
      <c r="E52" s="16">
        <f>INDEX('Vận hành'!$I$8:$K$8,MATCH($B$10,'Vận hành'!$I$5:$K$5,0))</f>
        <v>33333.333333333336</v>
      </c>
    </row>
    <row r="53" spans="1:5" x14ac:dyDescent="0.25">
      <c r="A53" s="73" t="str">
        <f>'Vận hành'!A9</f>
        <v>A. Hạ tầng (chuyển tiếp theo hóa đơn)</v>
      </c>
      <c r="B53" s="6" t="str">
        <f>'Vận hành'!B9</f>
        <v>Chứng chỉ SSL</v>
      </c>
      <c r="C53" s="18" t="str">
        <f>'Vận hành'!C9</f>
        <v>năm</v>
      </c>
      <c r="D53" s="19"/>
      <c r="E53" s="16">
        <f>INDEX('Vận hành'!$I$9:$K$9,MATCH($B$10,'Vận hành'!$I$5:$K$5,0))</f>
        <v>0</v>
      </c>
    </row>
    <row r="54" spans="1:5" x14ac:dyDescent="0.25">
      <c r="A54" s="73" t="str">
        <f>'Vận hành'!A10</f>
        <v>A. Hạ tầng (chuyển tiếp theo hóa đơn)</v>
      </c>
      <c r="B54" s="6" t="str">
        <f>'Vận hành'!B10</f>
        <v>Lưu trữ bản sao lưu (storage ngoài máy chủ)</v>
      </c>
      <c r="C54" s="18" t="str">
        <f>'Vận hành'!C10</f>
        <v>tháng</v>
      </c>
      <c r="D54" s="19"/>
      <c r="E54" s="16">
        <f>INDEX('Vận hành'!$I$10:$K$10,MATCH($B$10,'Vận hành'!$I$5:$K$5,0))</f>
        <v>50000</v>
      </c>
    </row>
    <row r="55" spans="1:5" x14ac:dyDescent="0.25">
      <c r="A55" s="73" t="str">
        <f>'Vận hành'!A11</f>
        <v>A. Hạ tầng (chuyển tiếp theo hóa đơn)</v>
      </c>
      <c r="B55" s="6" t="str">
        <f>'Vận hành'!B11</f>
        <v>Email theo tên miền (mỗi hộp thư)</v>
      </c>
      <c r="C55" s="18" t="str">
        <f>'Vận hành'!C11</f>
        <v>tháng</v>
      </c>
      <c r="D55" s="19"/>
      <c r="E55" s="16">
        <f>INDEX('Vận hành'!$I$11:$K$11,MATCH($B$10,'Vận hành'!$I$5:$K$5,0))</f>
        <v>90000</v>
      </c>
    </row>
    <row r="56" spans="1:5" x14ac:dyDescent="0.25">
      <c r="A56" s="73" t="str">
        <f>'Vận hành'!A12</f>
        <v>B. Dịch vụ vận hành (phí dịch vụ)</v>
      </c>
      <c r="B56" s="6" t="str">
        <f>'Vận hành'!B12</f>
        <v>Monitoring: giám sát uptime</v>
      </c>
      <c r="C56" s="18" t="str">
        <f>'Vận hành'!C12</f>
        <v>tháng</v>
      </c>
      <c r="D56" s="19"/>
      <c r="E56" s="16">
        <f>INDEX('Vận hành'!$I$12:$K$12,MATCH($B$10,'Vận hành'!$I$5:$K$5,0))</f>
        <v>100000</v>
      </c>
    </row>
    <row r="57" spans="1:5" x14ac:dyDescent="0.25">
      <c r="A57" s="73" t="str">
        <f>'Vận hành'!A13</f>
        <v>B. Dịch vụ vận hành (phí dịch vụ)</v>
      </c>
      <c r="B57" s="6" t="str">
        <f>'Vận hành'!B13</f>
        <v>Monitoring: hiệu năng và dashboard (CPU, RAM, ổ đĩa)</v>
      </c>
      <c r="C57" s="18" t="str">
        <f>'Vận hành'!C13</f>
        <v>tháng</v>
      </c>
      <c r="D57" s="19"/>
      <c r="E57" s="16">
        <f>INDEX('Vận hành'!$I$13:$K$13,MATCH($B$10,'Vận hành'!$I$5:$K$5,0))</f>
        <v>0</v>
      </c>
    </row>
    <row r="58" spans="1:5" x14ac:dyDescent="0.25">
      <c r="A58" s="73" t="str">
        <f>'Vận hành'!A14</f>
        <v>B. Dịch vụ vận hành (phí dịch vụ)</v>
      </c>
      <c r="B58" s="6" t="str">
        <f>'Vận hành'!B14</f>
        <v>Alert: cảnh báo sự cố qua email, Zalo hoặc Telegram</v>
      </c>
      <c r="C58" s="18" t="str">
        <f>'Vận hành'!C14</f>
        <v>tháng</v>
      </c>
      <c r="D58" s="19"/>
      <c r="E58" s="16">
        <f>INDEX('Vận hành'!$I$14:$K$14,MATCH($B$10,'Vận hành'!$I$5:$K$5,0))</f>
        <v>50000</v>
      </c>
    </row>
    <row r="59" spans="1:5" x14ac:dyDescent="0.25">
      <c r="A59" s="73" t="str">
        <f>'Vận hành'!A15</f>
        <v>B. Dịch vụ vận hành (phí dịch vụ)</v>
      </c>
      <c r="B59" s="6" t="str">
        <f>'Vận hành'!B15</f>
        <v>Alert: trực sự cố ngoài giờ hành chính (on-call)</v>
      </c>
      <c r="C59" s="18" t="str">
        <f>'Vận hành'!C15</f>
        <v>tháng</v>
      </c>
      <c r="D59" s="19"/>
      <c r="E59" s="16">
        <f>INDEX('Vận hành'!$I$15:$K$15,MATCH($B$10,'Vận hành'!$I$5:$K$5,0))</f>
        <v>0</v>
      </c>
    </row>
    <row r="60" spans="1:5" x14ac:dyDescent="0.25">
      <c r="A60" s="73" t="str">
        <f>'Vận hành'!A16</f>
        <v>B. Dịch vụ vận hành (phí dịch vụ)</v>
      </c>
      <c r="B60" s="6" t="str">
        <f>'Vận hành'!B16</f>
        <v>Sao lưu tự động hằng ngày và kiểm tra khôi phục</v>
      </c>
      <c r="C60" s="18" t="str">
        <f>'Vận hành'!C16</f>
        <v>tháng</v>
      </c>
      <c r="D60" s="19"/>
      <c r="E60" s="16">
        <f>INDEX('Vận hành'!$I$16:$K$16,MATCH($B$10,'Vận hành'!$I$5:$K$5,0))</f>
        <v>80000</v>
      </c>
    </row>
    <row r="61" spans="1:5" x14ac:dyDescent="0.25">
      <c r="A61" s="73" t="str">
        <f>'Vận hành'!A17</f>
        <v>B. Dịch vụ vận hành (phí dịch vụ)</v>
      </c>
      <c r="B61" s="6" t="str">
        <f>'Vận hành'!B17</f>
        <v>Bảo trì: cập nhật bản vá bảo mật và thư viện</v>
      </c>
      <c r="C61" s="18" t="str">
        <f>'Vận hành'!C17</f>
        <v>tháng</v>
      </c>
      <c r="D61" s="19"/>
      <c r="E61" s="16">
        <f>INDEX('Vận hành'!$I$17:$K$17,MATCH($B$10,'Vận hành'!$I$5:$K$5,0))</f>
        <v>300000</v>
      </c>
    </row>
    <row r="62" spans="1:5" x14ac:dyDescent="0.25">
      <c r="A62" s="73" t="str">
        <f>'Vận hành'!A18</f>
        <v>B. Dịch vụ vận hành (phí dịch vụ)</v>
      </c>
      <c r="B62" s="6" t="str">
        <f>'Vận hành'!B18</f>
        <v>Bảo trì: giờ hỗ trợ và sửa lỗi</v>
      </c>
      <c r="C62" s="18" t="str">
        <f>'Vận hành'!C18</f>
        <v>giờ</v>
      </c>
      <c r="D62" s="19"/>
      <c r="E62" s="16">
        <f>INDEX('Vận hành'!$I$18:$K$18,MATCH($B$10,'Vận hành'!$I$5:$K$5,0))</f>
        <v>875000</v>
      </c>
    </row>
    <row r="63" spans="1:5" x14ac:dyDescent="0.25">
      <c r="A63" s="73" t="str">
        <f>'Vận hành'!A19</f>
        <v>B. Dịch vụ vận hành (phí dịch vụ)</v>
      </c>
      <c r="B63" s="6" t="str">
        <f>'Vận hành'!B19</f>
        <v>Bảo trì: giờ phát triển tính năng nhỏ</v>
      </c>
      <c r="C63" s="18" t="str">
        <f>'Vận hành'!C19</f>
        <v>giờ</v>
      </c>
      <c r="D63" s="19"/>
      <c r="E63" s="16">
        <f>INDEX('Vận hành'!$I$19:$K$19,MATCH($B$10,'Vận hành'!$I$5:$K$5,0))</f>
        <v>525000</v>
      </c>
    </row>
    <row r="64" spans="1:5" x14ac:dyDescent="0.25">
      <c r="A64" s="73" t="str">
        <f>'Vận hành'!A20</f>
        <v>B. Dịch vụ vận hành (phí dịch vụ)</v>
      </c>
      <c r="B64" s="6" t="str">
        <f>'Vận hành'!B20</f>
        <v>Báo cáo vận hành hàng tháng</v>
      </c>
      <c r="C64" s="18" t="str">
        <f>'Vận hành'!C20</f>
        <v>tháng</v>
      </c>
      <c r="D64" s="19"/>
      <c r="E64" s="16">
        <f>INDEX('Vận hành'!$I$20:$K$20,MATCH($B$10,'Vận hành'!$I$5:$K$5,0))</f>
        <v>200000</v>
      </c>
    </row>
    <row r="65" spans="1:5" x14ac:dyDescent="0.25">
      <c r="A65" s="42"/>
      <c r="B65" s="43" t="s">
        <v>597</v>
      </c>
      <c r="C65" s="42"/>
      <c r="D65" s="42"/>
      <c r="E65" s="46">
        <f>INDEX('Vận hành'!$I$22:$K$22,MATCH($B$10,'Vận hành'!$I$5:$K$5,0))</f>
        <v>523333.33333333331</v>
      </c>
    </row>
    <row r="66" spans="1:5" x14ac:dyDescent="0.25">
      <c r="A66" s="42"/>
      <c r="B66" s="43" t="s">
        <v>551</v>
      </c>
      <c r="C66" s="42"/>
      <c r="D66" s="42"/>
      <c r="E66" s="46">
        <f>INDEX('Vận hành'!$I$23:$K$23,MATCH($B$10,'Vận hành'!$I$5:$K$5,0))</f>
        <v>2130000</v>
      </c>
    </row>
    <row r="67" spans="1:5" x14ac:dyDescent="0.25">
      <c r="A67" s="63"/>
      <c r="B67" s="52" t="s">
        <v>598</v>
      </c>
      <c r="C67" s="63"/>
      <c r="D67" s="63"/>
      <c r="E67" s="53">
        <f>INDEX('Vận hành'!$I$24:$K$24,MATCH($B$10,'Vận hành'!$I$5:$K$5,0))</f>
        <v>2653333.3333333335</v>
      </c>
    </row>
    <row r="69" spans="1:5" x14ac:dyDescent="0.25">
      <c r="A69" s="9" t="s">
        <v>581</v>
      </c>
    </row>
    <row r="70" spans="1:5" ht="27.95" customHeight="1" x14ac:dyDescent="0.25">
      <c r="A70" s="84" t="str">
        <f>"1. Báo giá có hiệu lực "&amp;'Thông số'!$B$22&amp;" ngày kể từ ngày báo giá."</f>
        <v>1. Báo giá có hiệu lực 30 ngày kể từ ngày báo giá.</v>
      </c>
      <c r="B70" s="77"/>
      <c r="C70" s="77"/>
      <c r="D70" s="77"/>
      <c r="E70" s="77"/>
    </row>
    <row r="71" spans="1:5" ht="27.95" customHeight="1" x14ac:dyDescent="0.25">
      <c r="A71" s="84" t="str">
        <f>"2. Mỗi giai đoạn thiết kế gồm tối đa "&amp;'Thông số'!$B$23&amp;" vòng chỉnh sửa. Vòng thêm và yêu cầu phát sinh được báo giá riêng theo đơn giá ngày công."</f>
        <v>2. Mỗi giai đoạn thiết kế gồm tối đa 2 vòng chỉnh sửa. Vòng thêm và yêu cầu phát sinh được báo giá riêng theo đơn giá ngày công.</v>
      </c>
      <c r="B71" s="77"/>
      <c r="C71" s="77"/>
      <c r="D71" s="77"/>
      <c r="E71" s="77"/>
    </row>
    <row r="72" spans="1:5" ht="27.95" customHeight="1" x14ac:dyDescent="0.25">
      <c r="A72" s="84" t="str">
        <f>"3. Bảo hành lỗi trong "&amp;'Thông số'!$B$24&amp;" ngày kể từ ngày nghiệm thu."</f>
        <v>3. Bảo hành lỗi trong 30 ngày kể từ ngày nghiệm thu.</v>
      </c>
      <c r="B72" s="77"/>
      <c r="C72" s="77"/>
      <c r="D72" s="77"/>
      <c r="E72" s="77"/>
    </row>
    <row r="73" spans="1:5" ht="27.95" customHeight="1" x14ac:dyDescent="0.25">
      <c r="A73" s="84" t="s">
        <v>599</v>
      </c>
      <c r="B73" s="77"/>
      <c r="C73" s="77"/>
      <c r="D73" s="77"/>
      <c r="E73" s="77"/>
    </row>
    <row r="74" spans="1:5" ht="27.95" customHeight="1" x14ac:dyDescent="0.25">
      <c r="A74" s="84" t="s">
        <v>583</v>
      </c>
      <c r="B74" s="77"/>
      <c r="C74" s="77"/>
      <c r="D74" s="77"/>
      <c r="E74" s="77"/>
    </row>
    <row r="75" spans="1:5" ht="27.95" customHeight="1" x14ac:dyDescent="0.25">
      <c r="A75" s="84" t="s">
        <v>600</v>
      </c>
      <c r="B75" s="77"/>
      <c r="C75" s="77"/>
      <c r="D75" s="77"/>
      <c r="E75" s="77"/>
    </row>
  </sheetData>
  <mergeCells count="18">
    <mergeCell ref="B4:E4"/>
    <mergeCell ref="A16:E16"/>
    <mergeCell ref="A72:E72"/>
    <mergeCell ref="A15:E15"/>
    <mergeCell ref="A75:E75"/>
    <mergeCell ref="B5:E5"/>
    <mergeCell ref="A14:E14"/>
    <mergeCell ref="B10:E10"/>
    <mergeCell ref="A74:E74"/>
    <mergeCell ref="A17:E17"/>
    <mergeCell ref="A70:E70"/>
    <mergeCell ref="A73:E73"/>
    <mergeCell ref="B6:E6"/>
    <mergeCell ref="A71:E71"/>
    <mergeCell ref="B7:E7"/>
    <mergeCell ref="B11:E11"/>
    <mergeCell ref="B9:E9"/>
    <mergeCell ref="B8:E8"/>
  </mergeCells>
  <dataValidations count="1">
    <dataValidation type="list" sqref="B10" xr:uid="{00000000-0002-0000-0900-000000000000}">
      <formula1>"Cơ bản,Tiêu chuẩn,Nâng cao"</formula1>
    </dataValidation>
  </dataValidations>
  <pageMargins left="0.75" right="0.75" top="1" bottom="1" header="0.5" footer="0.5"/>
  <pageSetup fitToHeight="0" orientation="portrai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0EA5E9"/>
  </sheetPr>
  <dimension ref="A1:K77"/>
  <sheetViews>
    <sheetView showGridLines="0" workbookViewId="0">
      <pane xSplit="3" ySplit="5" topLeftCell="D69" activePane="bottomRight" state="frozen"/>
      <selection pane="topRight"/>
      <selection pane="bottomLeft"/>
      <selection pane="bottomRight"/>
    </sheetView>
  </sheetViews>
  <sheetFormatPr defaultRowHeight="15" x14ac:dyDescent="0.25"/>
  <cols>
    <col min="1" max="1" width="6" customWidth="1"/>
    <col min="2" max="2" width="26" customWidth="1"/>
    <col min="3" max="3" width="42" customWidth="1"/>
    <col min="4" max="4" width="46" customWidth="1"/>
    <col min="5" max="5" width="12" customWidth="1"/>
    <col min="6" max="6" width="11" customWidth="1"/>
    <col min="7" max="7" width="12" customWidth="1"/>
    <col min="8" max="8" width="11" customWidth="1"/>
    <col min="9" max="9" width="15" customWidth="1"/>
    <col min="10" max="10" width="17" customWidth="1"/>
    <col min="11" max="11" width="10" customWidth="1"/>
  </cols>
  <sheetData>
    <row r="1" spans="1:11" ht="20.25" x14ac:dyDescent="0.3">
      <c r="A1" s="1" t="s">
        <v>601</v>
      </c>
    </row>
    <row r="2" spans="1:11" x14ac:dyDescent="0.25">
      <c r="A2" s="2" t="s">
        <v>602</v>
      </c>
    </row>
    <row r="5" spans="1:11" ht="32.1" customHeight="1" x14ac:dyDescent="0.25">
      <c r="A5" s="10" t="s">
        <v>188</v>
      </c>
      <c r="B5" s="10" t="s">
        <v>189</v>
      </c>
      <c r="C5" s="10" t="s">
        <v>190</v>
      </c>
      <c r="D5" s="10" t="s">
        <v>191</v>
      </c>
      <c r="E5" s="10" t="s">
        <v>149</v>
      </c>
      <c r="F5" s="10" t="s">
        <v>603</v>
      </c>
      <c r="G5" s="10" t="s">
        <v>604</v>
      </c>
      <c r="H5" s="10" t="s">
        <v>605</v>
      </c>
      <c r="I5" s="10" t="s">
        <v>193</v>
      </c>
      <c r="J5" s="10" t="s">
        <v>203</v>
      </c>
      <c r="K5" s="10" t="s">
        <v>606</v>
      </c>
    </row>
    <row r="6" spans="1:11" ht="30" customHeight="1" x14ac:dyDescent="0.25">
      <c r="A6" s="25" t="s">
        <v>205</v>
      </c>
      <c r="B6" s="26" t="s">
        <v>206</v>
      </c>
      <c r="C6" s="27" t="str">
        <f>INDEX('Hạng mục'!$C$6:$C$76,MATCH($A6,'Hạng mục'!$A$6:$A$76,0))</f>
        <v>Họp khởi động, chốt mục tiêu và phạm vi</v>
      </c>
      <c r="D6" s="28" t="str">
        <f>INDEX('Hạng mục'!$D$6:$D$76,MATCH($A6,'Hạng mục'!$A$6:$A$76,0))</f>
        <v>Biên bản phạm vi, danh sách chức năng theo mức ưu tiên</v>
      </c>
      <c r="E6" s="25" t="str">
        <f>INDEX('Hạng mục'!$E$6:$E$76,MATCH($A6,'Hạng mục'!$A$6:$A$76,0))</f>
        <v>PM/BA</v>
      </c>
      <c r="F6" s="74">
        <f>INDEX('Hạng mục'!$F$6:$F$76,MATCH($A6,'Hạng mục'!$A$6:$A$76,0))</f>
        <v>0.5</v>
      </c>
      <c r="G6" s="15"/>
      <c r="H6" s="74">
        <f t="shared" ref="H6:H37" si="0">IF(G6="",F6,G6)</f>
        <v>0.5</v>
      </c>
      <c r="I6" s="31">
        <f>INDEX('Hạng mục'!$G$6:$G$76,MATCH($A6,'Hạng mục'!$A$6:$A$76,0))</f>
        <v>1050000</v>
      </c>
      <c r="J6" s="31">
        <f t="shared" ref="J6:J37" si="1">H6*I6*K6</f>
        <v>525000</v>
      </c>
      <c r="K6" s="32">
        <v>1</v>
      </c>
    </row>
    <row r="7" spans="1:11" ht="30" customHeight="1" x14ac:dyDescent="0.25">
      <c r="A7" s="25" t="s">
        <v>209</v>
      </c>
      <c r="B7" s="26" t="s">
        <v>206</v>
      </c>
      <c r="C7" s="27" t="str">
        <f>INDEX('Hạng mục'!$C$6:$C$76,MATCH($A7,'Hạng mục'!$A$6:$A$76,0))</f>
        <v>Phân tích nghiệp vụ và đặc tả chức năng</v>
      </c>
      <c r="D7" s="28" t="str">
        <f>INDEX('Hạng mục'!$D$6:$D$76,MATCH($A7,'Hạng mục'!$A$6:$A$76,0))</f>
        <v>Tài liệu đặc tả: user story, luồng nghiệp vụ</v>
      </c>
      <c r="E7" s="25" t="str">
        <f>INDEX('Hạng mục'!$E$6:$E$76,MATCH($A7,'Hạng mục'!$A$6:$A$76,0))</f>
        <v>PM/BA</v>
      </c>
      <c r="F7" s="74">
        <f>INDEX('Hạng mục'!$F$6:$F$76,MATCH($A7,'Hạng mục'!$A$6:$A$76,0))</f>
        <v>3</v>
      </c>
      <c r="G7" s="15"/>
      <c r="H7" s="74">
        <f t="shared" si="0"/>
        <v>3</v>
      </c>
      <c r="I7" s="31">
        <f>INDEX('Hạng mục'!$G$6:$G$76,MATCH($A7,'Hạng mục'!$A$6:$A$76,0))</f>
        <v>1050000</v>
      </c>
      <c r="J7" s="31">
        <f t="shared" si="1"/>
        <v>3150000</v>
      </c>
      <c r="K7" s="32">
        <v>1</v>
      </c>
    </row>
    <row r="8" spans="1:11" ht="30" customHeight="1" x14ac:dyDescent="0.25">
      <c r="A8" s="25" t="s">
        <v>212</v>
      </c>
      <c r="B8" s="26" t="s">
        <v>206</v>
      </c>
      <c r="C8" s="27" t="str">
        <f>INDEX('Hạng mục'!$C$6:$C$76,MATCH($A8,'Hạng mục'!$A$6:$A$76,0))</f>
        <v>Sitemap và cấu trúc nội dung</v>
      </c>
      <c r="D8" s="28" t="str">
        <f>INDEX('Hạng mục'!$D$6:$D$76,MATCH($A8,'Hạng mục'!$A$6:$A$76,0))</f>
        <v>Sơ đồ trang, danh sách nội dung khách cần chuẩn bị</v>
      </c>
      <c r="E8" s="25" t="str">
        <f>INDEX('Hạng mục'!$E$6:$E$76,MATCH($A8,'Hạng mục'!$A$6:$A$76,0))</f>
        <v>PM/BA</v>
      </c>
      <c r="F8" s="74">
        <f>INDEX('Hạng mục'!$F$6:$F$76,MATCH($A8,'Hạng mục'!$A$6:$A$76,0))</f>
        <v>1</v>
      </c>
      <c r="G8" s="15"/>
      <c r="H8" s="74">
        <f t="shared" si="0"/>
        <v>1</v>
      </c>
      <c r="I8" s="31">
        <f>INDEX('Hạng mục'!$G$6:$G$76,MATCH($A8,'Hạng mục'!$A$6:$A$76,0))</f>
        <v>1050000</v>
      </c>
      <c r="J8" s="31">
        <f t="shared" si="1"/>
        <v>1050000</v>
      </c>
      <c r="K8" s="32">
        <v>1</v>
      </c>
    </row>
    <row r="9" spans="1:11" ht="30" customHeight="1" x14ac:dyDescent="0.25">
      <c r="A9" s="25" t="s">
        <v>215</v>
      </c>
      <c r="B9" s="26" t="s">
        <v>206</v>
      </c>
      <c r="C9" s="27" t="str">
        <f>INDEX('Hạng mục'!$C$6:$C$76,MATCH($A9,'Hạng mục'!$A$6:$A$76,0))</f>
        <v>Thiết kế kiến trúc và cơ sở dữ liệu</v>
      </c>
      <c r="D9" s="28" t="str">
        <f>INDEX('Hạng mục'!$D$6:$D$76,MATCH($A9,'Hạng mục'!$A$6:$A$76,0))</f>
        <v>Sơ đồ kiến trúc, ERD, lựa chọn công nghệ</v>
      </c>
      <c r="E9" s="25" t="str">
        <f>INDEX('Hạng mục'!$E$6:$E$76,MATCH($A9,'Hạng mục'!$A$6:$A$76,0))</f>
        <v>Senior Dev</v>
      </c>
      <c r="F9" s="74">
        <f>INDEX('Hạng mục'!$F$6:$F$76,MATCH($A9,'Hạng mục'!$A$6:$A$76,0))</f>
        <v>3</v>
      </c>
      <c r="G9" s="15"/>
      <c r="H9" s="74">
        <f t="shared" si="0"/>
        <v>3</v>
      </c>
      <c r="I9" s="31">
        <f>INDEX('Hạng mục'!$G$6:$G$76,MATCH($A9,'Hạng mục'!$A$6:$A$76,0))</f>
        <v>1400000</v>
      </c>
      <c r="J9" s="31">
        <f t="shared" si="1"/>
        <v>4200000</v>
      </c>
      <c r="K9" s="32">
        <v>1</v>
      </c>
    </row>
    <row r="10" spans="1:11" ht="30" customHeight="1" x14ac:dyDescent="0.25">
      <c r="A10" s="25" t="s">
        <v>218</v>
      </c>
      <c r="B10" s="26" t="s">
        <v>206</v>
      </c>
      <c r="C10" s="27" t="str">
        <f>INDEX('Hạng mục'!$C$6:$C$76,MATCH($A10,'Hạng mục'!$A$6:$A$76,0))</f>
        <v>Kế hoạch dự án và lộ trình bàn giao</v>
      </c>
      <c r="D10" s="28" t="str">
        <f>INDEX('Hạng mục'!$D$6:$D$76,MATCH($A10,'Hạng mục'!$A$6:$A$76,0))</f>
        <v>Mốc thời gian, tiêu chí nghiệm thu</v>
      </c>
      <c r="E10" s="25" t="str">
        <f>INDEX('Hạng mục'!$E$6:$E$76,MATCH($A10,'Hạng mục'!$A$6:$A$76,0))</f>
        <v>PM/BA</v>
      </c>
      <c r="F10" s="74">
        <f>INDEX('Hạng mục'!$F$6:$F$76,MATCH($A10,'Hạng mục'!$A$6:$A$76,0))</f>
        <v>0.5</v>
      </c>
      <c r="G10" s="15"/>
      <c r="H10" s="74">
        <f t="shared" si="0"/>
        <v>0.5</v>
      </c>
      <c r="I10" s="31">
        <f>INDEX('Hạng mục'!$G$6:$G$76,MATCH($A10,'Hạng mục'!$A$6:$A$76,0))</f>
        <v>1050000</v>
      </c>
      <c r="J10" s="31">
        <f t="shared" si="1"/>
        <v>525000</v>
      </c>
      <c r="K10" s="32">
        <v>1</v>
      </c>
    </row>
    <row r="11" spans="1:11" ht="30" customHeight="1" x14ac:dyDescent="0.25">
      <c r="A11" s="34" t="s">
        <v>221</v>
      </c>
      <c r="B11" s="35" t="s">
        <v>222</v>
      </c>
      <c r="C11" s="36" t="str">
        <f>INDEX('Hạng mục'!$C$6:$C$76,MATCH($A11,'Hạng mục'!$A$6:$A$76,0))</f>
        <v>Moodboard và bộ nhận diện giao diện</v>
      </c>
      <c r="D11" s="37" t="str">
        <f>INDEX('Hạng mục'!$D$6:$D$76,MATCH($A11,'Hạng mục'!$A$6:$A$76,0))</f>
        <v>Style guide: màu, font, component, design tokens</v>
      </c>
      <c r="E11" s="34" t="str">
        <f>INDEX('Hạng mục'!$E$6:$E$76,MATCH($A11,'Hạng mục'!$A$6:$A$76,0))</f>
        <v>UI/UX</v>
      </c>
      <c r="F11" s="75">
        <f>INDEX('Hạng mục'!$F$6:$F$76,MATCH($A11,'Hạng mục'!$A$6:$A$76,0))</f>
        <v>1</v>
      </c>
      <c r="G11" s="15"/>
      <c r="H11" s="75">
        <f t="shared" si="0"/>
        <v>1</v>
      </c>
      <c r="I11" s="40">
        <f>INDEX('Hạng mục'!$G$6:$G$76,MATCH($A11,'Hạng mục'!$A$6:$A$76,0))</f>
        <v>1050000</v>
      </c>
      <c r="J11" s="40">
        <f t="shared" si="1"/>
        <v>1050000</v>
      </c>
      <c r="K11" s="32">
        <v>1</v>
      </c>
    </row>
    <row r="12" spans="1:11" ht="30" customHeight="1" x14ac:dyDescent="0.25">
      <c r="A12" s="34" t="s">
        <v>225</v>
      </c>
      <c r="B12" s="35" t="s">
        <v>222</v>
      </c>
      <c r="C12" s="36" t="str">
        <f>INDEX('Hạng mục'!$C$6:$C$76,MATCH($A12,'Hạng mục'!$A$6:$A$76,0))</f>
        <v>Thiết kế landing page (desktop và mobile)</v>
      </c>
      <c r="D12" s="37" t="str">
        <f>INDEX('Hạng mục'!$D$6:$D$76,MATCH($A12,'Hạng mục'!$A$6:$A$76,0))</f>
        <v>File thiết kế landing page</v>
      </c>
      <c r="E12" s="34" t="str">
        <f>INDEX('Hạng mục'!$E$6:$E$76,MATCH($A12,'Hạng mục'!$A$6:$A$76,0))</f>
        <v>UI/UX</v>
      </c>
      <c r="F12" s="75">
        <f>INDEX('Hạng mục'!$F$6:$F$76,MATCH($A12,'Hạng mục'!$A$6:$A$76,0))</f>
        <v>3</v>
      </c>
      <c r="G12" s="15"/>
      <c r="H12" s="75">
        <f t="shared" si="0"/>
        <v>3</v>
      </c>
      <c r="I12" s="40">
        <f>INDEX('Hạng mục'!$G$6:$G$76,MATCH($A12,'Hạng mục'!$A$6:$A$76,0))</f>
        <v>1050000</v>
      </c>
      <c r="J12" s="40">
        <f t="shared" si="1"/>
        <v>0</v>
      </c>
      <c r="K12" s="32">
        <v>0</v>
      </c>
    </row>
    <row r="13" spans="1:11" ht="30" customHeight="1" x14ac:dyDescent="0.25">
      <c r="A13" s="34" t="s">
        <v>228</v>
      </c>
      <c r="B13" s="35" t="s">
        <v>222</v>
      </c>
      <c r="C13" s="36" t="str">
        <f>INDEX('Hạng mục'!$C$6:$C$76,MATCH($A13,'Hạng mục'!$A$6:$A$76,0))</f>
        <v>Thiết kế website nhiều trang (5 đến 8 trang mẫu)</v>
      </c>
      <c r="D13" s="37" t="str">
        <f>INDEX('Hạng mục'!$D$6:$D$76,MATCH($A13,'Hạng mục'!$A$6:$A$76,0))</f>
        <v>File thiết kế các trang chính</v>
      </c>
      <c r="E13" s="34" t="str">
        <f>INDEX('Hạng mục'!$E$6:$E$76,MATCH($A13,'Hạng mục'!$A$6:$A$76,0))</f>
        <v>UI/UX</v>
      </c>
      <c r="F13" s="75">
        <f>INDEX('Hạng mục'!$F$6:$F$76,MATCH($A13,'Hạng mục'!$A$6:$A$76,0))</f>
        <v>6</v>
      </c>
      <c r="G13" s="15"/>
      <c r="H13" s="75">
        <f t="shared" si="0"/>
        <v>6</v>
      </c>
      <c r="I13" s="40">
        <f>INDEX('Hạng mục'!$G$6:$G$76,MATCH($A13,'Hạng mục'!$A$6:$A$76,0))</f>
        <v>1050000</v>
      </c>
      <c r="J13" s="40">
        <f t="shared" si="1"/>
        <v>6300000</v>
      </c>
      <c r="K13" s="32">
        <v>1</v>
      </c>
    </row>
    <row r="14" spans="1:11" ht="30" customHeight="1" x14ac:dyDescent="0.25">
      <c r="A14" s="34" t="s">
        <v>231</v>
      </c>
      <c r="B14" s="35" t="s">
        <v>222</v>
      </c>
      <c r="C14" s="36" t="str">
        <f>INDEX('Hạng mục'!$C$6:$C$76,MATCH($A14,'Hạng mục'!$A$6:$A$76,0))</f>
        <v>Thiết kế giao diện quản trị</v>
      </c>
      <c r="D14" s="37" t="str">
        <f>INDEX('Hạng mục'!$D$6:$D$76,MATCH($A14,'Hạng mục'!$A$6:$A$76,0))</f>
        <v>Dashboard, danh sách, biểu mẫu, trạng thái rỗng</v>
      </c>
      <c r="E14" s="34" t="str">
        <f>INDEX('Hạng mục'!$E$6:$E$76,MATCH($A14,'Hạng mục'!$A$6:$A$76,0))</f>
        <v>UI/UX</v>
      </c>
      <c r="F14" s="75">
        <f>INDEX('Hạng mục'!$F$6:$F$76,MATCH($A14,'Hạng mục'!$A$6:$A$76,0))</f>
        <v>6</v>
      </c>
      <c r="G14" s="15"/>
      <c r="H14" s="75">
        <f t="shared" si="0"/>
        <v>6</v>
      </c>
      <c r="I14" s="40">
        <f>INDEX('Hạng mục'!$G$6:$G$76,MATCH($A14,'Hạng mục'!$A$6:$A$76,0))</f>
        <v>1050000</v>
      </c>
      <c r="J14" s="40">
        <f t="shared" si="1"/>
        <v>6300000</v>
      </c>
      <c r="K14" s="32">
        <v>1</v>
      </c>
    </row>
    <row r="15" spans="1:11" ht="30" customHeight="1" x14ac:dyDescent="0.25">
      <c r="A15" s="34" t="s">
        <v>234</v>
      </c>
      <c r="B15" s="35" t="s">
        <v>222</v>
      </c>
      <c r="C15" s="36" t="str">
        <f>INDEX('Hạng mục'!$C$6:$C$76,MATCH($A15,'Hạng mục'!$A$6:$A$76,0))</f>
        <v>Thiết kế giao diện mobile cho hệ thống</v>
      </c>
      <c r="D15" s="37" t="str">
        <f>INDEX('Hạng mục'!$D$6:$D$76,MATCH($A15,'Hạng mục'!$A$6:$A$76,0))</f>
        <v>Bản mobile của danh sách, biểu mẫu, điều hướng</v>
      </c>
      <c r="E15" s="34" t="str">
        <f>INDEX('Hạng mục'!$E$6:$E$76,MATCH($A15,'Hạng mục'!$A$6:$A$76,0))</f>
        <v>UI/UX</v>
      </c>
      <c r="F15" s="75">
        <f>INDEX('Hạng mục'!$F$6:$F$76,MATCH($A15,'Hạng mục'!$A$6:$A$76,0))</f>
        <v>3</v>
      </c>
      <c r="G15" s="15"/>
      <c r="H15" s="75">
        <f t="shared" si="0"/>
        <v>3</v>
      </c>
      <c r="I15" s="40">
        <f>INDEX('Hạng mục'!$G$6:$G$76,MATCH($A15,'Hạng mục'!$A$6:$A$76,0))</f>
        <v>1050000</v>
      </c>
      <c r="J15" s="40">
        <f t="shared" si="1"/>
        <v>3150000</v>
      </c>
      <c r="K15" s="32">
        <v>1</v>
      </c>
    </row>
    <row r="16" spans="1:11" ht="30" customHeight="1" x14ac:dyDescent="0.25">
      <c r="A16" s="34" t="s">
        <v>237</v>
      </c>
      <c r="B16" s="35" t="s">
        <v>222</v>
      </c>
      <c r="C16" s="36" t="str">
        <f>INDEX('Hạng mục'!$C$6:$C$76,MATCH($A16,'Hạng mục'!$A$6:$A$76,0))</f>
        <v>Thiết kế Zalo Mini App (ZaUI)</v>
      </c>
      <c r="D16" s="37" t="str">
        <f>INDEX('Hạng mục'!$D$6:$D$76,MATCH($A16,'Hạng mục'!$A$6:$A$76,0))</f>
        <v>Màn hình Mini App theo chuẩn thiết kế của Zalo</v>
      </c>
      <c r="E16" s="34" t="str">
        <f>INDEX('Hạng mục'!$E$6:$E$76,MATCH($A16,'Hạng mục'!$A$6:$A$76,0))</f>
        <v>UI/UX</v>
      </c>
      <c r="F16" s="75">
        <f>INDEX('Hạng mục'!$F$6:$F$76,MATCH($A16,'Hạng mục'!$A$6:$A$76,0))</f>
        <v>4</v>
      </c>
      <c r="G16" s="15"/>
      <c r="H16" s="75">
        <f t="shared" si="0"/>
        <v>4</v>
      </c>
      <c r="I16" s="40">
        <f>INDEX('Hạng mục'!$G$6:$G$76,MATCH($A16,'Hạng mục'!$A$6:$A$76,0))</f>
        <v>1050000</v>
      </c>
      <c r="J16" s="40">
        <f t="shared" si="1"/>
        <v>0</v>
      </c>
      <c r="K16" s="32">
        <v>0</v>
      </c>
    </row>
    <row r="17" spans="1:11" ht="30" customHeight="1" x14ac:dyDescent="0.25">
      <c r="A17" s="34" t="s">
        <v>240</v>
      </c>
      <c r="B17" s="35" t="s">
        <v>222</v>
      </c>
      <c r="C17" s="36" t="str">
        <f>INDEX('Hạng mục'!$C$6:$C$76,MATCH($A17,'Hạng mục'!$A$6:$A$76,0))</f>
        <v>Prototype và duyệt thiết kế</v>
      </c>
      <c r="D17" s="37" t="str">
        <f>INDEX('Hạng mục'!$D$6:$D$76,MATCH($A17,'Hạng mục'!$A$6:$A$76,0))</f>
        <v>Prototype bấm được, tối đa số vòng chỉnh sửa trong Thông số</v>
      </c>
      <c r="E17" s="34" t="str">
        <f>INDEX('Hạng mục'!$E$6:$E$76,MATCH($A17,'Hạng mục'!$A$6:$A$76,0))</f>
        <v>UI/UX</v>
      </c>
      <c r="F17" s="75">
        <f>INDEX('Hạng mục'!$F$6:$F$76,MATCH($A17,'Hạng mục'!$A$6:$A$76,0))</f>
        <v>1</v>
      </c>
      <c r="G17" s="15"/>
      <c r="H17" s="75">
        <f t="shared" si="0"/>
        <v>1</v>
      </c>
      <c r="I17" s="40">
        <f>INDEX('Hạng mục'!$G$6:$G$76,MATCH($A17,'Hạng mục'!$A$6:$A$76,0))</f>
        <v>1050000</v>
      </c>
      <c r="J17" s="40">
        <f t="shared" si="1"/>
        <v>1050000</v>
      </c>
      <c r="K17" s="32">
        <v>1</v>
      </c>
    </row>
    <row r="18" spans="1:11" ht="30" customHeight="1" x14ac:dyDescent="0.25">
      <c r="A18" s="25" t="s">
        <v>243</v>
      </c>
      <c r="B18" s="26" t="s">
        <v>244</v>
      </c>
      <c r="C18" s="27" t="str">
        <f>INDEX('Hạng mục'!$C$6:$C$76,MATCH($A18,'Hạng mục'!$A$6:$A$76,0))</f>
        <v>Dựng landing page responsive</v>
      </c>
      <c r="D18" s="28" t="str">
        <f>INDEX('Hạng mục'!$D$6:$D$76,MATCH($A18,'Hạng mục'!$A$6:$A$76,0))</f>
        <v>Landing page hoàn chỉnh trên mọi cỡ màn hình</v>
      </c>
      <c r="E18" s="25" t="str">
        <f>INDEX('Hạng mục'!$E$6:$E$76,MATCH($A18,'Hạng mục'!$A$6:$A$76,0))</f>
        <v>Senior Dev</v>
      </c>
      <c r="F18" s="74">
        <f>INDEX('Hạng mục'!$F$6:$F$76,MATCH($A18,'Hạng mục'!$A$6:$A$76,0))</f>
        <v>3</v>
      </c>
      <c r="G18" s="15"/>
      <c r="H18" s="74">
        <f t="shared" si="0"/>
        <v>3</v>
      </c>
      <c r="I18" s="31">
        <f>INDEX('Hạng mục'!$G$6:$G$76,MATCH($A18,'Hạng mục'!$A$6:$A$76,0))</f>
        <v>1400000</v>
      </c>
      <c r="J18" s="31">
        <f t="shared" si="1"/>
        <v>0</v>
      </c>
      <c r="K18" s="32">
        <v>0</v>
      </c>
    </row>
    <row r="19" spans="1:11" ht="30" customHeight="1" x14ac:dyDescent="0.25">
      <c r="A19" s="25" t="s">
        <v>247</v>
      </c>
      <c r="B19" s="26" t="s">
        <v>244</v>
      </c>
      <c r="C19" s="27" t="str">
        <f>INDEX('Hạng mục'!$C$6:$C$76,MATCH($A19,'Hạng mục'!$A$6:$A$76,0))</f>
        <v>Dựng website nhiều trang responsive</v>
      </c>
      <c r="D19" s="28" t="str">
        <f>INDEX('Hạng mục'!$D$6:$D$76,MATCH($A19,'Hạng mục'!$A$6:$A$76,0))</f>
        <v>Website nhiều trang hoàn chỉnh</v>
      </c>
      <c r="E19" s="25" t="str">
        <f>INDEX('Hạng mục'!$E$6:$E$76,MATCH($A19,'Hạng mục'!$A$6:$A$76,0))</f>
        <v>Senior Dev</v>
      </c>
      <c r="F19" s="74">
        <f>INDEX('Hạng mục'!$F$6:$F$76,MATCH($A19,'Hạng mục'!$A$6:$A$76,0))</f>
        <v>8</v>
      </c>
      <c r="G19" s="15"/>
      <c r="H19" s="74">
        <f t="shared" si="0"/>
        <v>8</v>
      </c>
      <c r="I19" s="31">
        <f>INDEX('Hạng mục'!$G$6:$G$76,MATCH($A19,'Hạng mục'!$A$6:$A$76,0))</f>
        <v>1400000</v>
      </c>
      <c r="J19" s="31">
        <f t="shared" si="1"/>
        <v>11200000</v>
      </c>
      <c r="K19" s="32">
        <v>1</v>
      </c>
    </row>
    <row r="20" spans="1:11" ht="30" customHeight="1" x14ac:dyDescent="0.25">
      <c r="A20" s="25" t="s">
        <v>250</v>
      </c>
      <c r="B20" s="26" t="s">
        <v>244</v>
      </c>
      <c r="C20" s="27" t="str">
        <f>INDEX('Hạng mục'!$C$6:$C$76,MATCH($A20,'Hạng mục'!$A$6:$A$76,0))</f>
        <v>Tối ưu tốc độ và SEO kỹ thuật</v>
      </c>
      <c r="D20" s="28" t="str">
        <f>INDEX('Hạng mục'!$D$6:$D$76,MATCH($A20,'Hạng mục'!$A$6:$A$76,0))</f>
        <v>Meta, sitemap, dữ liệu có cấu trúc, Core Web Vitals</v>
      </c>
      <c r="E20" s="25" t="str">
        <f>INDEX('Hạng mục'!$E$6:$E$76,MATCH($A20,'Hạng mục'!$A$6:$A$76,0))</f>
        <v>Senior Dev</v>
      </c>
      <c r="F20" s="74">
        <f>INDEX('Hạng mục'!$F$6:$F$76,MATCH($A20,'Hạng mục'!$A$6:$A$76,0))</f>
        <v>2</v>
      </c>
      <c r="G20" s="15"/>
      <c r="H20" s="74">
        <f t="shared" si="0"/>
        <v>2</v>
      </c>
      <c r="I20" s="31">
        <f>INDEX('Hạng mục'!$G$6:$G$76,MATCH($A20,'Hạng mục'!$A$6:$A$76,0))</f>
        <v>1400000</v>
      </c>
      <c r="J20" s="31">
        <f t="shared" si="1"/>
        <v>2800000</v>
      </c>
      <c r="K20" s="32">
        <v>1</v>
      </c>
    </row>
    <row r="21" spans="1:11" ht="30" customHeight="1" x14ac:dyDescent="0.25">
      <c r="A21" s="25" t="s">
        <v>253</v>
      </c>
      <c r="B21" s="26" t="s">
        <v>244</v>
      </c>
      <c r="C21" s="27" t="str">
        <f>INDEX('Hạng mục'!$C$6:$C$76,MATCH($A21,'Hạng mục'!$A$6:$A$76,0))</f>
        <v>Form liên hệ, chống spam, email thông báo</v>
      </c>
      <c r="D21" s="28" t="str">
        <f>INDEX('Hạng mục'!$D$6:$D$76,MATCH($A21,'Hạng mục'!$A$6:$A$76,0))</f>
        <v>Form gửi về email của doanh nghiệp</v>
      </c>
      <c r="E21" s="25" t="str">
        <f>INDEX('Hạng mục'!$E$6:$E$76,MATCH($A21,'Hạng mục'!$A$6:$A$76,0))</f>
        <v>Senior Dev</v>
      </c>
      <c r="F21" s="74">
        <f>INDEX('Hạng mục'!$F$6:$F$76,MATCH($A21,'Hạng mục'!$A$6:$A$76,0))</f>
        <v>1.5</v>
      </c>
      <c r="G21" s="15"/>
      <c r="H21" s="74">
        <f t="shared" si="0"/>
        <v>1.5</v>
      </c>
      <c r="I21" s="31">
        <f>INDEX('Hạng mục'!$G$6:$G$76,MATCH($A21,'Hạng mục'!$A$6:$A$76,0))</f>
        <v>1400000</v>
      </c>
      <c r="J21" s="31">
        <f t="shared" si="1"/>
        <v>2100000</v>
      </c>
      <c r="K21" s="32">
        <v>1</v>
      </c>
    </row>
    <row r="22" spans="1:11" ht="30" customHeight="1" x14ac:dyDescent="0.25">
      <c r="A22" s="25" t="s">
        <v>256</v>
      </c>
      <c r="B22" s="26" t="s">
        <v>244</v>
      </c>
      <c r="C22" s="27" t="str">
        <f>INDEX('Hạng mục'!$C$6:$C$76,MATCH($A22,'Hạng mục'!$A$6:$A$76,0))</f>
        <v>Khung ứng dụng quản trị</v>
      </c>
      <c r="D22" s="28" t="str">
        <f>INDEX('Hạng mục'!$D$6:$D$76,MATCH($A22,'Hạng mục'!$A$6:$A$76,0))</f>
        <v>Layout, điều hướng, ẩn hiện chức năng theo quyền</v>
      </c>
      <c r="E22" s="25" t="str">
        <f>INDEX('Hạng mục'!$E$6:$E$76,MATCH($A22,'Hạng mục'!$A$6:$A$76,0))</f>
        <v>Senior Dev</v>
      </c>
      <c r="F22" s="74">
        <f>INDEX('Hạng mục'!$F$6:$F$76,MATCH($A22,'Hạng mục'!$A$6:$A$76,0))</f>
        <v>5</v>
      </c>
      <c r="G22" s="15"/>
      <c r="H22" s="74">
        <f t="shared" si="0"/>
        <v>5</v>
      </c>
      <c r="I22" s="31">
        <f>INDEX('Hạng mục'!$G$6:$G$76,MATCH($A22,'Hạng mục'!$A$6:$A$76,0))</f>
        <v>1400000</v>
      </c>
      <c r="J22" s="31">
        <f t="shared" si="1"/>
        <v>7000000</v>
      </c>
      <c r="K22" s="32">
        <v>1</v>
      </c>
    </row>
    <row r="23" spans="1:11" ht="30" customHeight="1" x14ac:dyDescent="0.25">
      <c r="A23" s="25" t="s">
        <v>259</v>
      </c>
      <c r="B23" s="26" t="s">
        <v>244</v>
      </c>
      <c r="C23" s="27" t="str">
        <f>INDEX('Hạng mục'!$C$6:$C$76,MATCH($A23,'Hạng mục'!$A$6:$A$76,0))</f>
        <v>Bảng dữ liệu, lọc, tìm kiếm, phân trang, biểu mẫu</v>
      </c>
      <c r="D23" s="28" t="str">
        <f>INDEX('Hạng mục'!$D$6:$D$76,MATCH($A23,'Hạng mục'!$A$6:$A$76,0))</f>
        <v>Bộ component dùng chung cho mọi màn hình danh sách</v>
      </c>
      <c r="E23" s="25" t="str">
        <f>INDEX('Hạng mục'!$E$6:$E$76,MATCH($A23,'Hạng mục'!$A$6:$A$76,0))</f>
        <v>Senior Dev</v>
      </c>
      <c r="F23" s="74">
        <f>INDEX('Hạng mục'!$F$6:$F$76,MATCH($A23,'Hạng mục'!$A$6:$A$76,0))</f>
        <v>6</v>
      </c>
      <c r="G23" s="15"/>
      <c r="H23" s="74">
        <f t="shared" si="0"/>
        <v>6</v>
      </c>
      <c r="I23" s="31">
        <f>INDEX('Hạng mục'!$G$6:$G$76,MATCH($A23,'Hạng mục'!$A$6:$A$76,0))</f>
        <v>1400000</v>
      </c>
      <c r="J23" s="31">
        <f t="shared" si="1"/>
        <v>8400000</v>
      </c>
      <c r="K23" s="32">
        <v>1</v>
      </c>
    </row>
    <row r="24" spans="1:11" ht="30" customHeight="1" x14ac:dyDescent="0.25">
      <c r="A24" s="25" t="s">
        <v>262</v>
      </c>
      <c r="B24" s="26" t="s">
        <v>244</v>
      </c>
      <c r="C24" s="27" t="str">
        <f>INDEX('Hạng mục'!$C$6:$C$76,MATCH($A24,'Hạng mục'!$A$6:$A$76,0))</f>
        <v>Giao diện Zalo Mini App (React + ZaUI)</v>
      </c>
      <c r="D24" s="28" t="str">
        <f>INDEX('Hạng mục'!$D$6:$D$76,MATCH($A24,'Hạng mục'!$A$6:$A$76,0))</f>
        <v>Các màn hình Mini App chạy trong Zalo</v>
      </c>
      <c r="E24" s="25" t="str">
        <f>INDEX('Hạng mục'!$E$6:$E$76,MATCH($A24,'Hạng mục'!$A$6:$A$76,0))</f>
        <v>Senior Dev</v>
      </c>
      <c r="F24" s="74">
        <f>INDEX('Hạng mục'!$F$6:$F$76,MATCH($A24,'Hạng mục'!$A$6:$A$76,0))</f>
        <v>10</v>
      </c>
      <c r="G24" s="15"/>
      <c r="H24" s="74">
        <f t="shared" si="0"/>
        <v>10</v>
      </c>
      <c r="I24" s="31">
        <f>INDEX('Hạng mục'!$G$6:$G$76,MATCH($A24,'Hạng mục'!$A$6:$A$76,0))</f>
        <v>1400000</v>
      </c>
      <c r="J24" s="31">
        <f t="shared" si="1"/>
        <v>0</v>
      </c>
      <c r="K24" s="32">
        <v>0</v>
      </c>
    </row>
    <row r="25" spans="1:11" ht="30" customHeight="1" x14ac:dyDescent="0.25">
      <c r="A25" s="25" t="s">
        <v>265</v>
      </c>
      <c r="B25" s="26" t="s">
        <v>244</v>
      </c>
      <c r="C25" s="27" t="str">
        <f>INDEX('Hạng mục'!$C$6:$C$76,MATCH($A25,'Hạng mục'!$A$6:$A$76,0))</f>
        <v>Đa ngôn ngữ (Việt/Anh)</v>
      </c>
      <c r="D25" s="28" t="str">
        <f>INDEX('Hạng mục'!$D$6:$D$76,MATCH($A25,'Hạng mục'!$A$6:$A$76,0))</f>
        <v>Chuyển đổi ngôn ngữ toàn site</v>
      </c>
      <c r="E25" s="25" t="str">
        <f>INDEX('Hạng mục'!$E$6:$E$76,MATCH($A25,'Hạng mục'!$A$6:$A$76,0))</f>
        <v>Senior Dev</v>
      </c>
      <c r="F25" s="74">
        <f>INDEX('Hạng mục'!$F$6:$F$76,MATCH($A25,'Hạng mục'!$A$6:$A$76,0))</f>
        <v>3</v>
      </c>
      <c r="G25" s="15"/>
      <c r="H25" s="74">
        <f t="shared" si="0"/>
        <v>3</v>
      </c>
      <c r="I25" s="31">
        <f>INDEX('Hạng mục'!$G$6:$G$76,MATCH($A25,'Hạng mục'!$A$6:$A$76,0))</f>
        <v>1400000</v>
      </c>
      <c r="J25" s="31">
        <f t="shared" si="1"/>
        <v>0</v>
      </c>
      <c r="K25" s="32">
        <v>0</v>
      </c>
    </row>
    <row r="26" spans="1:11" ht="30" customHeight="1" x14ac:dyDescent="0.25">
      <c r="A26" s="34" t="s">
        <v>268</v>
      </c>
      <c r="B26" s="35" t="s">
        <v>269</v>
      </c>
      <c r="C26" s="36" t="str">
        <f>INDEX('Hạng mục'!$C$6:$C$76,MATCH($A26,'Hạng mục'!$A$6:$A$76,0))</f>
        <v>Khởi tạo backend, môi trường dev và staging</v>
      </c>
      <c r="D26" s="37" t="str">
        <f>INDEX('Hạng mục'!$D$6:$D$76,MATCH($A26,'Hạng mục'!$A$6:$A$76,0))</f>
        <v>Mã nguồn khởi tạo, môi trường thử nghiệm</v>
      </c>
      <c r="E26" s="34" t="str">
        <f>INDEX('Hạng mục'!$E$6:$E$76,MATCH($A26,'Hạng mục'!$A$6:$A$76,0))</f>
        <v>Senior Dev</v>
      </c>
      <c r="F26" s="75">
        <f>INDEX('Hạng mục'!$F$6:$F$76,MATCH($A26,'Hạng mục'!$A$6:$A$76,0))</f>
        <v>2</v>
      </c>
      <c r="G26" s="15"/>
      <c r="H26" s="75">
        <f t="shared" si="0"/>
        <v>2</v>
      </c>
      <c r="I26" s="40">
        <f>INDEX('Hạng mục'!$G$6:$G$76,MATCH($A26,'Hạng mục'!$A$6:$A$76,0))</f>
        <v>1400000</v>
      </c>
      <c r="J26" s="40">
        <f t="shared" si="1"/>
        <v>2800000</v>
      </c>
      <c r="K26" s="32">
        <v>1</v>
      </c>
    </row>
    <row r="27" spans="1:11" ht="30" customHeight="1" x14ac:dyDescent="0.25">
      <c r="A27" s="34" t="s">
        <v>272</v>
      </c>
      <c r="B27" s="35" t="s">
        <v>269</v>
      </c>
      <c r="C27" s="36" t="str">
        <f>INDEX('Hạng mục'!$C$6:$C$76,MATCH($A27,'Hạng mục'!$A$6:$A$76,0))</f>
        <v>Xác thực và phân quyền (JWT, RBAC)</v>
      </c>
      <c r="D27" s="37" t="str">
        <f>INDEX('Hạng mục'!$D$6:$D$76,MATCH($A27,'Hạng mục'!$A$6:$A$76,0))</f>
        <v>Đăng nhập, phân quyền theo vai trò</v>
      </c>
      <c r="E27" s="34" t="str">
        <f>INDEX('Hạng mục'!$E$6:$E$76,MATCH($A27,'Hạng mục'!$A$6:$A$76,0))</f>
        <v>Senior Dev</v>
      </c>
      <c r="F27" s="75">
        <f>INDEX('Hạng mục'!$F$6:$F$76,MATCH($A27,'Hạng mục'!$A$6:$A$76,0))</f>
        <v>4</v>
      </c>
      <c r="G27" s="15"/>
      <c r="H27" s="75">
        <f t="shared" si="0"/>
        <v>4</v>
      </c>
      <c r="I27" s="40">
        <f>INDEX('Hạng mục'!$G$6:$G$76,MATCH($A27,'Hạng mục'!$A$6:$A$76,0))</f>
        <v>1400000</v>
      </c>
      <c r="J27" s="40">
        <f t="shared" si="1"/>
        <v>5600000</v>
      </c>
      <c r="K27" s="32">
        <v>1</v>
      </c>
    </row>
    <row r="28" spans="1:11" ht="30" customHeight="1" x14ac:dyDescent="0.25">
      <c r="A28" s="34" t="s">
        <v>275</v>
      </c>
      <c r="B28" s="35" t="s">
        <v>269</v>
      </c>
      <c r="C28" s="36" t="str">
        <f>INDEX('Hạng mục'!$C$6:$C$76,MATCH($A28,'Hạng mục'!$A$6:$A$76,0))</f>
        <v>Quản lý người dùng và vai trò</v>
      </c>
      <c r="D28" s="37" t="str">
        <f>INDEX('Hạng mục'!$D$6:$D$76,MATCH($A28,'Hạng mục'!$A$6:$A$76,0))</f>
        <v>Thêm, sửa, khóa tài khoản, gán vai trò</v>
      </c>
      <c r="E28" s="34" t="str">
        <f>INDEX('Hạng mục'!$E$6:$E$76,MATCH($A28,'Hạng mục'!$A$6:$A$76,0))</f>
        <v>Senior Dev</v>
      </c>
      <c r="F28" s="75">
        <f>INDEX('Hạng mục'!$F$6:$F$76,MATCH($A28,'Hạng mục'!$A$6:$A$76,0))</f>
        <v>3</v>
      </c>
      <c r="G28" s="15"/>
      <c r="H28" s="75">
        <f t="shared" si="0"/>
        <v>3</v>
      </c>
      <c r="I28" s="40">
        <f>INDEX('Hạng mục'!$G$6:$G$76,MATCH($A28,'Hạng mục'!$A$6:$A$76,0))</f>
        <v>1400000</v>
      </c>
      <c r="J28" s="40">
        <f t="shared" si="1"/>
        <v>4200000</v>
      </c>
      <c r="K28" s="32">
        <v>1</v>
      </c>
    </row>
    <row r="29" spans="1:11" ht="30" customHeight="1" x14ac:dyDescent="0.25">
      <c r="A29" s="34" t="s">
        <v>278</v>
      </c>
      <c r="B29" s="35" t="s">
        <v>269</v>
      </c>
      <c r="C29" s="36" t="str">
        <f>INDEX('Hạng mục'!$C$6:$C$76,MATCH($A29,'Hạng mục'!$A$6:$A$76,0))</f>
        <v>API REST và tài liệu OpenAPI</v>
      </c>
      <c r="D29" s="37" t="str">
        <f>INDEX('Hạng mục'!$D$6:$D$76,MATCH($A29,'Hạng mục'!$A$6:$A$76,0))</f>
        <v>API đầy đủ cho các module và tài liệu</v>
      </c>
      <c r="E29" s="34" t="str">
        <f>INDEX('Hạng mục'!$E$6:$E$76,MATCH($A29,'Hạng mục'!$A$6:$A$76,0))</f>
        <v>Senior Dev</v>
      </c>
      <c r="F29" s="75">
        <f>INDEX('Hạng mục'!$F$6:$F$76,MATCH($A29,'Hạng mục'!$A$6:$A$76,0))</f>
        <v>5</v>
      </c>
      <c r="G29" s="15"/>
      <c r="H29" s="75">
        <f t="shared" si="0"/>
        <v>5</v>
      </c>
      <c r="I29" s="40">
        <f>INDEX('Hạng mục'!$G$6:$G$76,MATCH($A29,'Hạng mục'!$A$6:$A$76,0))</f>
        <v>1400000</v>
      </c>
      <c r="J29" s="40">
        <f t="shared" si="1"/>
        <v>7000000</v>
      </c>
      <c r="K29" s="32">
        <v>1</v>
      </c>
    </row>
    <row r="30" spans="1:11" ht="30" customHeight="1" x14ac:dyDescent="0.25">
      <c r="A30" s="34" t="s">
        <v>281</v>
      </c>
      <c r="B30" s="35" t="s">
        <v>269</v>
      </c>
      <c r="C30" s="36" t="str">
        <f>INDEX('Hạng mục'!$C$6:$C$76,MATCH($A30,'Hạng mục'!$A$6:$A$76,0))</f>
        <v>Nhật ký thao tác (audit log)</v>
      </c>
      <c r="D30" s="37" t="str">
        <f>INDEX('Hạng mục'!$D$6:$D$76,MATCH($A30,'Hạng mục'!$A$6:$A$76,0))</f>
        <v>Ghi lại ai làm gì, lúc nào</v>
      </c>
      <c r="E30" s="34" t="str">
        <f>INDEX('Hạng mục'!$E$6:$E$76,MATCH($A30,'Hạng mục'!$A$6:$A$76,0))</f>
        <v>Senior Dev</v>
      </c>
      <c r="F30" s="75">
        <f>INDEX('Hạng mục'!$F$6:$F$76,MATCH($A30,'Hạng mục'!$A$6:$A$76,0))</f>
        <v>2</v>
      </c>
      <c r="G30" s="15"/>
      <c r="H30" s="75">
        <f t="shared" si="0"/>
        <v>2</v>
      </c>
      <c r="I30" s="40">
        <f>INDEX('Hạng mục'!$G$6:$G$76,MATCH($A30,'Hạng mục'!$A$6:$A$76,0))</f>
        <v>1400000</v>
      </c>
      <c r="J30" s="40">
        <f t="shared" si="1"/>
        <v>0</v>
      </c>
      <c r="K30" s="32">
        <v>0</v>
      </c>
    </row>
    <row r="31" spans="1:11" ht="30" customHeight="1" x14ac:dyDescent="0.25">
      <c r="A31" s="34" t="s">
        <v>284</v>
      </c>
      <c r="B31" s="35" t="s">
        <v>269</v>
      </c>
      <c r="C31" s="36" t="str">
        <f>INDEX('Hạng mục'!$C$6:$C$76,MATCH($A31,'Hạng mục'!$A$6:$A$76,0))</f>
        <v>Nhập và xuất Excel</v>
      </c>
      <c r="D31" s="37" t="str">
        <f>INDEX('Hạng mục'!$D$6:$D$76,MATCH($A31,'Hạng mục'!$A$6:$A$76,0))</f>
        <v>Nhập danh sách từ Excel, xuất báo cáo</v>
      </c>
      <c r="E31" s="34" t="str">
        <f>INDEX('Hạng mục'!$E$6:$E$76,MATCH($A31,'Hạng mục'!$A$6:$A$76,0))</f>
        <v>Senior Dev</v>
      </c>
      <c r="F31" s="75">
        <f>INDEX('Hạng mục'!$F$6:$F$76,MATCH($A31,'Hạng mục'!$A$6:$A$76,0))</f>
        <v>3</v>
      </c>
      <c r="G31" s="15"/>
      <c r="H31" s="75">
        <f t="shared" si="0"/>
        <v>3</v>
      </c>
      <c r="I31" s="40">
        <f>INDEX('Hạng mục'!$G$6:$G$76,MATCH($A31,'Hạng mục'!$A$6:$A$76,0))</f>
        <v>1400000</v>
      </c>
      <c r="J31" s="40">
        <f t="shared" si="1"/>
        <v>0</v>
      </c>
      <c r="K31" s="32">
        <v>0</v>
      </c>
    </row>
    <row r="32" spans="1:11" ht="30" customHeight="1" x14ac:dyDescent="0.25">
      <c r="A32" s="34" t="s">
        <v>286</v>
      </c>
      <c r="B32" s="35" t="s">
        <v>269</v>
      </c>
      <c r="C32" s="36" t="str">
        <f>INDEX('Hạng mục'!$C$6:$C$76,MATCH($A32,'Hạng mục'!$A$6:$A$76,0))</f>
        <v>Lưu cục bộ và đồng bộ Excel/OneDrive cho Mini App</v>
      </c>
      <c r="D32" s="37" t="str">
        <f>INDEX('Hạng mục'!$D$6:$D$76,MATCH($A32,'Hạng mục'!$A$6:$A$76,0))</f>
        <v>Dữ liệu dùng được khi mạng yếu, đồng bộ sau</v>
      </c>
      <c r="E32" s="34" t="str">
        <f>INDEX('Hạng mục'!$E$6:$E$76,MATCH($A32,'Hạng mục'!$A$6:$A$76,0))</f>
        <v>Senior Dev</v>
      </c>
      <c r="F32" s="75">
        <f>INDEX('Hạng mục'!$F$6:$F$76,MATCH($A32,'Hạng mục'!$A$6:$A$76,0))</f>
        <v>6</v>
      </c>
      <c r="G32" s="15"/>
      <c r="H32" s="75">
        <f t="shared" si="0"/>
        <v>6</v>
      </c>
      <c r="I32" s="40">
        <f>INDEX('Hạng mục'!$G$6:$G$76,MATCH($A32,'Hạng mục'!$A$6:$A$76,0))</f>
        <v>1400000</v>
      </c>
      <c r="J32" s="40">
        <f t="shared" si="1"/>
        <v>0</v>
      </c>
      <c r="K32" s="32">
        <v>0</v>
      </c>
    </row>
    <row r="33" spans="1:11" ht="30" customHeight="1" x14ac:dyDescent="0.25">
      <c r="A33" s="25" t="s">
        <v>289</v>
      </c>
      <c r="B33" s="26" t="s">
        <v>290</v>
      </c>
      <c r="C33" s="27" t="str">
        <f>INDEX('Hạng mục'!$C$6:$C$76,MATCH($A33,'Hạng mục'!$A$6:$A$76,0))</f>
        <v>Quản lý trang và bài viết</v>
      </c>
      <c r="D33" s="28" t="str">
        <f>INDEX('Hạng mục'!$D$6:$D$76,MATCH($A33,'Hạng mục'!$A$6:$A$76,0))</f>
        <v>Trình soạn thảo, danh mục, thẻ</v>
      </c>
      <c r="E33" s="25" t="str">
        <f>INDEX('Hạng mục'!$E$6:$E$76,MATCH($A33,'Hạng mục'!$A$6:$A$76,0))</f>
        <v>Senior Dev</v>
      </c>
      <c r="F33" s="74">
        <f>INDEX('Hạng mục'!$F$6:$F$76,MATCH($A33,'Hạng mục'!$A$6:$A$76,0))</f>
        <v>6</v>
      </c>
      <c r="G33" s="15"/>
      <c r="H33" s="74">
        <f t="shared" si="0"/>
        <v>6</v>
      </c>
      <c r="I33" s="31">
        <f>INDEX('Hạng mục'!$G$6:$G$76,MATCH($A33,'Hạng mục'!$A$6:$A$76,0))</f>
        <v>1400000</v>
      </c>
      <c r="J33" s="31">
        <f t="shared" si="1"/>
        <v>8400000</v>
      </c>
      <c r="K33" s="32">
        <v>1</v>
      </c>
    </row>
    <row r="34" spans="1:11" ht="30" customHeight="1" x14ac:dyDescent="0.25">
      <c r="A34" s="25" t="s">
        <v>293</v>
      </c>
      <c r="B34" s="26" t="s">
        <v>290</v>
      </c>
      <c r="C34" s="27" t="str">
        <f>INDEX('Hạng mục'!$C$6:$C$76,MATCH($A34,'Hạng mục'!$A$6:$A$76,0))</f>
        <v>Thư viện media</v>
      </c>
      <c r="D34" s="28" t="str">
        <f>INDEX('Hạng mục'!$D$6:$D$76,MATCH($A34,'Hạng mục'!$A$6:$A$76,0))</f>
        <v>Tải lên, tối ưu ảnh, quản lý tệp</v>
      </c>
      <c r="E34" s="25" t="str">
        <f>INDEX('Hạng mục'!$E$6:$E$76,MATCH($A34,'Hạng mục'!$A$6:$A$76,0))</f>
        <v>Senior Dev</v>
      </c>
      <c r="F34" s="74">
        <f>INDEX('Hạng mục'!$F$6:$F$76,MATCH($A34,'Hạng mục'!$A$6:$A$76,0))</f>
        <v>3</v>
      </c>
      <c r="G34" s="15"/>
      <c r="H34" s="74">
        <f t="shared" si="0"/>
        <v>3</v>
      </c>
      <c r="I34" s="31">
        <f>INDEX('Hạng mục'!$G$6:$G$76,MATCH($A34,'Hạng mục'!$A$6:$A$76,0))</f>
        <v>1400000</v>
      </c>
      <c r="J34" s="31">
        <f t="shared" si="1"/>
        <v>4200000</v>
      </c>
      <c r="K34" s="32">
        <v>1</v>
      </c>
    </row>
    <row r="35" spans="1:11" ht="30" customHeight="1" x14ac:dyDescent="0.25">
      <c r="A35" s="25" t="s">
        <v>296</v>
      </c>
      <c r="B35" s="26" t="s">
        <v>290</v>
      </c>
      <c r="C35" s="27" t="str">
        <f>INDEX('Hạng mục'!$C$6:$C$76,MATCH($A35,'Hạng mục'!$A$6:$A$76,0))</f>
        <v>Quản lý menu, banner, SEO từng trang</v>
      </c>
      <c r="D35" s="28" t="str">
        <f>INDEX('Hạng mục'!$D$6:$D$76,MATCH($A35,'Hạng mục'!$A$6:$A$76,0))</f>
        <v>Khách tự chỉnh menu, banner, tiêu đề, mô tả</v>
      </c>
      <c r="E35" s="25" t="str">
        <f>INDEX('Hạng mục'!$E$6:$E$76,MATCH($A35,'Hạng mục'!$A$6:$A$76,0))</f>
        <v>Senior Dev</v>
      </c>
      <c r="F35" s="74">
        <f>INDEX('Hạng mục'!$F$6:$F$76,MATCH($A35,'Hạng mục'!$A$6:$A$76,0))</f>
        <v>3</v>
      </c>
      <c r="G35" s="15"/>
      <c r="H35" s="74">
        <f t="shared" si="0"/>
        <v>3</v>
      </c>
      <c r="I35" s="31">
        <f>INDEX('Hạng mục'!$G$6:$G$76,MATCH($A35,'Hạng mục'!$A$6:$A$76,0))</f>
        <v>1400000</v>
      </c>
      <c r="J35" s="31">
        <f t="shared" si="1"/>
        <v>4200000</v>
      </c>
      <c r="K35" s="32">
        <v>1</v>
      </c>
    </row>
    <row r="36" spans="1:11" ht="30" customHeight="1" x14ac:dyDescent="0.25">
      <c r="A36" s="25" t="s">
        <v>299</v>
      </c>
      <c r="B36" s="26" t="s">
        <v>290</v>
      </c>
      <c r="C36" s="27" t="str">
        <f>INDEX('Hạng mục'!$C$6:$C$76,MATCH($A36,'Hạng mục'!$A$6:$A$76,0))</f>
        <v>Bản nháp, lịch đăng và lịch sử phiên bản</v>
      </c>
      <c r="D36" s="28" t="str">
        <f>INDEX('Hạng mục'!$D$6:$D$76,MATCH($A36,'Hạng mục'!$A$6:$A$76,0))</f>
        <v>Đăng theo lịch, khôi phục phiên bản cũ</v>
      </c>
      <c r="E36" s="25" t="str">
        <f>INDEX('Hạng mục'!$E$6:$E$76,MATCH($A36,'Hạng mục'!$A$6:$A$76,0))</f>
        <v>Senior Dev</v>
      </c>
      <c r="F36" s="74">
        <f>INDEX('Hạng mục'!$F$6:$F$76,MATCH($A36,'Hạng mục'!$A$6:$A$76,0))</f>
        <v>3</v>
      </c>
      <c r="G36" s="15"/>
      <c r="H36" s="74">
        <f t="shared" si="0"/>
        <v>3</v>
      </c>
      <c r="I36" s="31">
        <f>INDEX('Hạng mục'!$G$6:$G$76,MATCH($A36,'Hạng mục'!$A$6:$A$76,0))</f>
        <v>1400000</v>
      </c>
      <c r="J36" s="31">
        <f t="shared" si="1"/>
        <v>4200000</v>
      </c>
      <c r="K36" s="32">
        <v>1</v>
      </c>
    </row>
    <row r="37" spans="1:11" ht="30" customHeight="1" x14ac:dyDescent="0.25">
      <c r="A37" s="34" t="s">
        <v>302</v>
      </c>
      <c r="B37" s="35" t="s">
        <v>303</v>
      </c>
      <c r="C37" s="36" t="str">
        <f>INDEX('Hạng mục'!$C$6:$C$76,MATCH($A37,'Hạng mục'!$A$6:$A$76,0))</f>
        <v>Quản lý khách hàng và liên hệ</v>
      </c>
      <c r="D37" s="37" t="str">
        <f>INDEX('Hạng mục'!$D$6:$D$76,MATCH($A37,'Hạng mục'!$A$6:$A$76,0))</f>
        <v>Hồ sơ, thẻ, ghi chú, lịch sử tương tác</v>
      </c>
      <c r="E37" s="34" t="str">
        <f>INDEX('Hạng mục'!$E$6:$E$76,MATCH($A37,'Hạng mục'!$A$6:$A$76,0))</f>
        <v>Senior Dev</v>
      </c>
      <c r="F37" s="75">
        <f>INDEX('Hạng mục'!$F$6:$F$76,MATCH($A37,'Hạng mục'!$A$6:$A$76,0))</f>
        <v>6</v>
      </c>
      <c r="G37" s="15"/>
      <c r="H37" s="75">
        <f t="shared" si="0"/>
        <v>6</v>
      </c>
      <c r="I37" s="40">
        <f>INDEX('Hạng mục'!$G$6:$G$76,MATCH($A37,'Hạng mục'!$A$6:$A$76,0))</f>
        <v>1400000</v>
      </c>
      <c r="J37" s="40">
        <f t="shared" si="1"/>
        <v>0</v>
      </c>
      <c r="K37" s="32">
        <v>0</v>
      </c>
    </row>
    <row r="38" spans="1:11" ht="30" customHeight="1" x14ac:dyDescent="0.25">
      <c r="A38" s="34" t="s">
        <v>306</v>
      </c>
      <c r="B38" s="35" t="s">
        <v>303</v>
      </c>
      <c r="C38" s="36" t="str">
        <f>INDEX('Hạng mục'!$C$6:$C$76,MATCH($A38,'Hạng mục'!$A$6:$A$76,0))</f>
        <v>Pipeline cơ hội dạng kanban</v>
      </c>
      <c r="D38" s="37" t="str">
        <f>INDEX('Hạng mục'!$D$6:$D$76,MATCH($A38,'Hạng mục'!$A$6:$A$76,0))</f>
        <v>Kéo thả cơ hội qua các giai đoạn bán hàng</v>
      </c>
      <c r="E38" s="34" t="str">
        <f>INDEX('Hạng mục'!$E$6:$E$76,MATCH($A38,'Hạng mục'!$A$6:$A$76,0))</f>
        <v>Senior Dev</v>
      </c>
      <c r="F38" s="75">
        <f>INDEX('Hạng mục'!$F$6:$F$76,MATCH($A38,'Hạng mục'!$A$6:$A$76,0))</f>
        <v>6</v>
      </c>
      <c r="G38" s="15"/>
      <c r="H38" s="75">
        <f t="shared" ref="H38:H69" si="2">IF(G38="",F38,G38)</f>
        <v>6</v>
      </c>
      <c r="I38" s="40">
        <f>INDEX('Hạng mục'!$G$6:$G$76,MATCH($A38,'Hạng mục'!$A$6:$A$76,0))</f>
        <v>1400000</v>
      </c>
      <c r="J38" s="40">
        <f t="shared" ref="J38:J69" si="3">H38*I38*K38</f>
        <v>0</v>
      </c>
      <c r="K38" s="32">
        <v>0</v>
      </c>
    </row>
    <row r="39" spans="1:11" ht="30" customHeight="1" x14ac:dyDescent="0.25">
      <c r="A39" s="34" t="s">
        <v>309</v>
      </c>
      <c r="B39" s="35" t="s">
        <v>303</v>
      </c>
      <c r="C39" s="36" t="str">
        <f>INDEX('Hạng mục'!$C$6:$C$76,MATCH($A39,'Hạng mục'!$A$6:$A$76,0))</f>
        <v>Hoạt động và nhắc việc</v>
      </c>
      <c r="D39" s="37" t="str">
        <f>INDEX('Hạng mục'!$D$6:$D$76,MATCH($A39,'Hạng mục'!$A$6:$A$76,0))</f>
        <v>Cuộc gọi, cuộc họp, công việc, nhắc hạn</v>
      </c>
      <c r="E39" s="34" t="str">
        <f>INDEX('Hạng mục'!$E$6:$E$76,MATCH($A39,'Hạng mục'!$A$6:$A$76,0))</f>
        <v>Senior Dev</v>
      </c>
      <c r="F39" s="75">
        <f>INDEX('Hạng mục'!$F$6:$F$76,MATCH($A39,'Hạng mục'!$A$6:$A$76,0))</f>
        <v>4</v>
      </c>
      <c r="G39" s="15"/>
      <c r="H39" s="75">
        <f t="shared" si="2"/>
        <v>4</v>
      </c>
      <c r="I39" s="40">
        <f>INDEX('Hạng mục'!$G$6:$G$76,MATCH($A39,'Hạng mục'!$A$6:$A$76,0))</f>
        <v>1400000</v>
      </c>
      <c r="J39" s="40">
        <f t="shared" si="3"/>
        <v>0</v>
      </c>
      <c r="K39" s="32">
        <v>0</v>
      </c>
    </row>
    <row r="40" spans="1:11" ht="30" customHeight="1" x14ac:dyDescent="0.25">
      <c r="A40" s="34" t="s">
        <v>312</v>
      </c>
      <c r="B40" s="35" t="s">
        <v>303</v>
      </c>
      <c r="C40" s="36" t="str">
        <f>INDEX('Hạng mục'!$C$6:$C$76,MATCH($A40,'Hạng mục'!$A$6:$A$76,0))</f>
        <v>Báo giá và hợp đồng mẫu xuất PDF</v>
      </c>
      <c r="D40" s="37" t="str">
        <f>INDEX('Hạng mục'!$D$6:$D$76,MATCH($A40,'Hạng mục'!$A$6:$A$76,0))</f>
        <v>Mẫu báo giá, hợp đồng theo thương hiệu</v>
      </c>
      <c r="E40" s="34" t="str">
        <f>INDEX('Hạng mục'!$E$6:$E$76,MATCH($A40,'Hạng mục'!$A$6:$A$76,0))</f>
        <v>Senior Dev</v>
      </c>
      <c r="F40" s="75">
        <f>INDEX('Hạng mục'!$F$6:$F$76,MATCH($A40,'Hạng mục'!$A$6:$A$76,0))</f>
        <v>5</v>
      </c>
      <c r="G40" s="15"/>
      <c r="H40" s="75">
        <f t="shared" si="2"/>
        <v>5</v>
      </c>
      <c r="I40" s="40">
        <f>INDEX('Hạng mục'!$G$6:$G$76,MATCH($A40,'Hạng mục'!$A$6:$A$76,0))</f>
        <v>1400000</v>
      </c>
      <c r="J40" s="40">
        <f t="shared" si="3"/>
        <v>0</v>
      </c>
      <c r="K40" s="32">
        <v>0</v>
      </c>
    </row>
    <row r="41" spans="1:11" ht="30" customHeight="1" x14ac:dyDescent="0.25">
      <c r="A41" s="34" t="s">
        <v>315</v>
      </c>
      <c r="B41" s="35" t="s">
        <v>303</v>
      </c>
      <c r="C41" s="36" t="str">
        <f>INDEX('Hạng mục'!$C$6:$C$76,MATCH($A41,'Hạng mục'!$A$6:$A$76,0))</f>
        <v>Báo cáo và dashboard doanh số</v>
      </c>
      <c r="D41" s="37" t="str">
        <f>INDEX('Hạng mục'!$D$6:$D$76,MATCH($A41,'Hạng mục'!$A$6:$A$76,0))</f>
        <v>Doanh số, tỷ lệ chốt, theo nhân viên</v>
      </c>
      <c r="E41" s="34" t="str">
        <f>INDEX('Hạng mục'!$E$6:$E$76,MATCH($A41,'Hạng mục'!$A$6:$A$76,0))</f>
        <v>Senior Dev</v>
      </c>
      <c r="F41" s="75">
        <f>INDEX('Hạng mục'!$F$6:$F$76,MATCH($A41,'Hạng mục'!$A$6:$A$76,0))</f>
        <v>4</v>
      </c>
      <c r="G41" s="15"/>
      <c r="H41" s="75">
        <f t="shared" si="2"/>
        <v>4</v>
      </c>
      <c r="I41" s="40">
        <f>INDEX('Hạng mục'!$G$6:$G$76,MATCH($A41,'Hạng mục'!$A$6:$A$76,0))</f>
        <v>1400000</v>
      </c>
      <c r="J41" s="40">
        <f t="shared" si="3"/>
        <v>0</v>
      </c>
      <c r="K41" s="32">
        <v>0</v>
      </c>
    </row>
    <row r="42" spans="1:11" ht="30" customHeight="1" x14ac:dyDescent="0.25">
      <c r="A42" s="34" t="s">
        <v>318</v>
      </c>
      <c r="B42" s="35" t="s">
        <v>303</v>
      </c>
      <c r="C42" s="36" t="str">
        <f>INDEX('Hạng mục'!$C$6:$C$76,MATCH($A42,'Hạng mục'!$A$6:$A$76,0))</f>
        <v>Tự động gửi email/Zalo ZNS theo kịch bản</v>
      </c>
      <c r="D42" s="37" t="str">
        <f>INDEX('Hạng mục'!$D$6:$D$76,MATCH($A42,'Hạng mục'!$A$6:$A$76,0))</f>
        <v>Gửi tự động khi có sự kiện</v>
      </c>
      <c r="E42" s="34" t="str">
        <f>INDEX('Hạng mục'!$E$6:$E$76,MATCH($A42,'Hạng mục'!$A$6:$A$76,0))</f>
        <v>Senior Dev</v>
      </c>
      <c r="F42" s="75">
        <f>INDEX('Hạng mục'!$F$6:$F$76,MATCH($A42,'Hạng mục'!$A$6:$A$76,0))</f>
        <v>4</v>
      </c>
      <c r="G42" s="15"/>
      <c r="H42" s="75">
        <f t="shared" si="2"/>
        <v>4</v>
      </c>
      <c r="I42" s="40">
        <f>INDEX('Hạng mục'!$G$6:$G$76,MATCH($A42,'Hạng mục'!$A$6:$A$76,0))</f>
        <v>1400000</v>
      </c>
      <c r="J42" s="40">
        <f t="shared" si="3"/>
        <v>0</v>
      </c>
      <c r="K42" s="32">
        <v>0</v>
      </c>
    </row>
    <row r="43" spans="1:11" ht="30" customHeight="1" x14ac:dyDescent="0.25">
      <c r="A43" s="25" t="s">
        <v>321</v>
      </c>
      <c r="B43" s="26" t="s">
        <v>322</v>
      </c>
      <c r="C43" s="27" t="str">
        <f>INDEX('Hạng mục'!$C$6:$C$76,MATCH($A43,'Hạng mục'!$A$6:$A$76,0))</f>
        <v>Quản lý đối tượng chính và hồ sơ</v>
      </c>
      <c r="D43" s="28" t="str">
        <f>INDEX('Hạng mục'!$D$6:$D$76,MATCH($A43,'Hạng mục'!$A$6:$A$76,0))</f>
        <v>Ví dụ học viên hoặc khách hàng: hồ sơ, trạng thái, liên hệ</v>
      </c>
      <c r="E43" s="25" t="str">
        <f>INDEX('Hạng mục'!$E$6:$E$76,MATCH($A43,'Hạng mục'!$A$6:$A$76,0))</f>
        <v>Senior Dev</v>
      </c>
      <c r="F43" s="74">
        <f>INDEX('Hạng mục'!$F$6:$F$76,MATCH($A43,'Hạng mục'!$A$6:$A$76,0))</f>
        <v>5</v>
      </c>
      <c r="G43" s="15"/>
      <c r="H43" s="74">
        <f t="shared" si="2"/>
        <v>5</v>
      </c>
      <c r="I43" s="31">
        <f>INDEX('Hạng mục'!$G$6:$G$76,MATCH($A43,'Hạng mục'!$A$6:$A$76,0))</f>
        <v>1400000</v>
      </c>
      <c r="J43" s="31">
        <f t="shared" si="3"/>
        <v>7000000</v>
      </c>
      <c r="K43" s="32">
        <v>1</v>
      </c>
    </row>
    <row r="44" spans="1:11" ht="30" customHeight="1" x14ac:dyDescent="0.25">
      <c r="A44" s="25" t="s">
        <v>325</v>
      </c>
      <c r="B44" s="26" t="s">
        <v>322</v>
      </c>
      <c r="C44" s="27" t="str">
        <f>INDEX('Hạng mục'!$C$6:$C$76,MATCH($A44,'Hạng mục'!$A$6:$A$76,0))</f>
        <v>Quản lý nhân sự</v>
      </c>
      <c r="D44" s="28" t="str">
        <f>INDEX('Hạng mục'!$D$6:$D$76,MATCH($A44,'Hạng mục'!$A$6:$A$76,0))</f>
        <v>Ví dụ giáo viên hoặc nhân viên</v>
      </c>
      <c r="E44" s="25" t="str">
        <f>INDEX('Hạng mục'!$E$6:$E$76,MATCH($A44,'Hạng mục'!$A$6:$A$76,0))</f>
        <v>Senior Dev</v>
      </c>
      <c r="F44" s="74">
        <f>INDEX('Hạng mục'!$F$6:$F$76,MATCH($A44,'Hạng mục'!$A$6:$A$76,0))</f>
        <v>4</v>
      </c>
      <c r="G44" s="15"/>
      <c r="H44" s="74">
        <f t="shared" si="2"/>
        <v>4</v>
      </c>
      <c r="I44" s="31">
        <f>INDEX('Hạng mục'!$G$6:$G$76,MATCH($A44,'Hạng mục'!$A$6:$A$76,0))</f>
        <v>1400000</v>
      </c>
      <c r="J44" s="31">
        <f t="shared" si="3"/>
        <v>0</v>
      </c>
      <c r="K44" s="32">
        <v>0</v>
      </c>
    </row>
    <row r="45" spans="1:11" ht="30" customHeight="1" x14ac:dyDescent="0.25">
      <c r="A45" s="25" t="s">
        <v>328</v>
      </c>
      <c r="B45" s="26" t="s">
        <v>322</v>
      </c>
      <c r="C45" s="27" t="str">
        <f>INDEX('Hạng mục'!$C$6:$C$76,MATCH($A45,'Hạng mục'!$A$6:$A$76,0))</f>
        <v>Lịch lớp, ca làm việc và xếp lịch</v>
      </c>
      <c r="D45" s="28" t="str">
        <f>INDEX('Hạng mục'!$D$6:$D$76,MATCH($A45,'Hạng mục'!$A$6:$A$76,0))</f>
        <v>Xếp lịch, ngày lễ, phòng</v>
      </c>
      <c r="E45" s="25" t="str">
        <f>INDEX('Hạng mục'!$E$6:$E$76,MATCH($A45,'Hạng mục'!$A$6:$A$76,0))</f>
        <v>Senior Dev</v>
      </c>
      <c r="F45" s="74">
        <f>INDEX('Hạng mục'!$F$6:$F$76,MATCH($A45,'Hạng mục'!$A$6:$A$76,0))</f>
        <v>6</v>
      </c>
      <c r="G45" s="15">
        <v>7</v>
      </c>
      <c r="H45" s="74">
        <f t="shared" si="2"/>
        <v>7</v>
      </c>
      <c r="I45" s="31">
        <f>INDEX('Hạng mục'!$G$6:$G$76,MATCH($A45,'Hạng mục'!$A$6:$A$76,0))</f>
        <v>1400000</v>
      </c>
      <c r="J45" s="31">
        <f t="shared" si="3"/>
        <v>9800000</v>
      </c>
      <c r="K45" s="32">
        <v>1</v>
      </c>
    </row>
    <row r="46" spans="1:11" ht="30" customHeight="1" x14ac:dyDescent="0.25">
      <c r="A46" s="25" t="s">
        <v>331</v>
      </c>
      <c r="B46" s="26" t="s">
        <v>322</v>
      </c>
      <c r="C46" s="27" t="str">
        <f>INDEX('Hạng mục'!$C$6:$C$76,MATCH($A46,'Hạng mục'!$A$6:$A$76,0))</f>
        <v>Điểm danh và đơn xin nghỉ</v>
      </c>
      <c r="D46" s="28" t="str">
        <f>INDEX('Hạng mục'!$D$6:$D$76,MATCH($A46,'Hạng mục'!$A$6:$A$76,0))</f>
        <v>Điểm danh theo ca, trạng thái có mặt/trễ/vắng</v>
      </c>
      <c r="E46" s="25" t="str">
        <f>INDEX('Hạng mục'!$E$6:$E$76,MATCH($A46,'Hạng mục'!$A$6:$A$76,0))</f>
        <v>Senior Dev</v>
      </c>
      <c r="F46" s="74">
        <f>INDEX('Hạng mục'!$F$6:$F$76,MATCH($A46,'Hạng mục'!$A$6:$A$76,0))</f>
        <v>5</v>
      </c>
      <c r="G46" s="15"/>
      <c r="H46" s="74">
        <f t="shared" si="2"/>
        <v>5</v>
      </c>
      <c r="I46" s="31">
        <f>INDEX('Hạng mục'!$G$6:$G$76,MATCH($A46,'Hạng mục'!$A$6:$A$76,0))</f>
        <v>1400000</v>
      </c>
      <c r="J46" s="31">
        <f t="shared" si="3"/>
        <v>7000000</v>
      </c>
      <c r="K46" s="32">
        <v>1</v>
      </c>
    </row>
    <row r="47" spans="1:11" ht="30" customHeight="1" x14ac:dyDescent="0.25">
      <c r="A47" s="25" t="s">
        <v>334</v>
      </c>
      <c r="B47" s="26" t="s">
        <v>322</v>
      </c>
      <c r="C47" s="27" t="str">
        <f>INDEX('Hạng mục'!$C$6:$C$76,MATCH($A47,'Hạng mục'!$A$6:$A$76,0))</f>
        <v>Học phí, thu chi và phiếu thu</v>
      </c>
      <c r="D47" s="28" t="str">
        <f>INDEX('Hạng mục'!$D$6:$D$76,MATCH($A47,'Hạng mục'!$A$6:$A$76,0))</f>
        <v>Dự kiến, đã thu, công nợ</v>
      </c>
      <c r="E47" s="25" t="str">
        <f>INDEX('Hạng mục'!$E$6:$E$76,MATCH($A47,'Hạng mục'!$A$6:$A$76,0))</f>
        <v>Senior Dev</v>
      </c>
      <c r="F47" s="74">
        <f>INDEX('Hạng mục'!$F$6:$F$76,MATCH($A47,'Hạng mục'!$A$6:$A$76,0))</f>
        <v>6</v>
      </c>
      <c r="G47" s="15">
        <v>8</v>
      </c>
      <c r="H47" s="74">
        <f t="shared" si="2"/>
        <v>8</v>
      </c>
      <c r="I47" s="31">
        <f>INDEX('Hạng mục'!$G$6:$G$76,MATCH($A47,'Hạng mục'!$A$6:$A$76,0))</f>
        <v>1400000</v>
      </c>
      <c r="J47" s="31">
        <f t="shared" si="3"/>
        <v>11200000</v>
      </c>
      <c r="K47" s="32">
        <v>1</v>
      </c>
    </row>
    <row r="48" spans="1:11" ht="30" customHeight="1" x14ac:dyDescent="0.25">
      <c r="A48" s="25" t="s">
        <v>337</v>
      </c>
      <c r="B48" s="26" t="s">
        <v>322</v>
      </c>
      <c r="C48" s="27" t="str">
        <f>INDEX('Hạng mục'!$C$6:$C$76,MATCH($A48,'Hạng mục'!$A$6:$A$76,0))</f>
        <v>Tính lương và đánh giá hiệu quả</v>
      </c>
      <c r="D48" s="28" t="str">
        <f>INDEX('Hạng mục'!$D$6:$D$76,MATCH($A48,'Hạng mục'!$A$6:$A$76,0))</f>
        <v>Bảng lương theo quy tắc, đánh giá nhân sự</v>
      </c>
      <c r="E48" s="25" t="str">
        <f>INDEX('Hạng mục'!$E$6:$E$76,MATCH($A48,'Hạng mục'!$A$6:$A$76,0))</f>
        <v>Senior Dev</v>
      </c>
      <c r="F48" s="74">
        <f>INDEX('Hạng mục'!$F$6:$F$76,MATCH($A48,'Hạng mục'!$A$6:$A$76,0))</f>
        <v>6</v>
      </c>
      <c r="G48" s="15"/>
      <c r="H48" s="74">
        <f t="shared" si="2"/>
        <v>6</v>
      </c>
      <c r="I48" s="31">
        <f>INDEX('Hạng mục'!$G$6:$G$76,MATCH($A48,'Hạng mục'!$A$6:$A$76,0))</f>
        <v>1400000</v>
      </c>
      <c r="J48" s="31">
        <f t="shared" si="3"/>
        <v>0</v>
      </c>
      <c r="K48" s="32">
        <v>0</v>
      </c>
    </row>
    <row r="49" spans="1:11" ht="30" customHeight="1" x14ac:dyDescent="0.25">
      <c r="A49" s="25" t="s">
        <v>340</v>
      </c>
      <c r="B49" s="26" t="s">
        <v>322</v>
      </c>
      <c r="C49" s="27" t="str">
        <f>INDEX('Hạng mục'!$C$6:$C$76,MATCH($A49,'Hạng mục'!$A$6:$A$76,0))</f>
        <v>Báo cáo tự động gửi phụ huynh/khách</v>
      </c>
      <c r="D49" s="28" t="str">
        <f>INDEX('Hạng mục'!$D$6:$D$76,MATCH($A49,'Hạng mục'!$A$6:$A$76,0))</f>
        <v>Báo cáo định kỳ qua email hoặc Zalo</v>
      </c>
      <c r="E49" s="25" t="str">
        <f>INDEX('Hạng mục'!$E$6:$E$76,MATCH($A49,'Hạng mục'!$A$6:$A$76,0))</f>
        <v>Senior Dev</v>
      </c>
      <c r="F49" s="74">
        <f>INDEX('Hạng mục'!$F$6:$F$76,MATCH($A49,'Hạng mục'!$A$6:$A$76,0))</f>
        <v>4</v>
      </c>
      <c r="G49" s="15"/>
      <c r="H49" s="74">
        <f t="shared" si="2"/>
        <v>4</v>
      </c>
      <c r="I49" s="31">
        <f>INDEX('Hạng mục'!$G$6:$G$76,MATCH($A49,'Hạng mục'!$A$6:$A$76,0))</f>
        <v>1400000</v>
      </c>
      <c r="J49" s="31">
        <f t="shared" si="3"/>
        <v>5600000</v>
      </c>
      <c r="K49" s="32">
        <v>1</v>
      </c>
    </row>
    <row r="50" spans="1:11" ht="30" customHeight="1" x14ac:dyDescent="0.25">
      <c r="A50" s="25" t="s">
        <v>343</v>
      </c>
      <c r="B50" s="26" t="s">
        <v>322</v>
      </c>
      <c r="C50" s="27" t="str">
        <f>INDEX('Hạng mục'!$C$6:$C$76,MATCH($A50,'Hạng mục'!$A$6:$A$76,0))</f>
        <v>Dashboard tổng quan</v>
      </c>
      <c r="D50" s="28" t="str">
        <f>INDEX('Hạng mục'!$D$6:$D$76,MATCH($A50,'Hạng mục'!$A$6:$A$76,0))</f>
        <v>Số liệu chính, biểu đồ, cảnh báo</v>
      </c>
      <c r="E50" s="25" t="str">
        <f>INDEX('Hạng mục'!$E$6:$E$76,MATCH($A50,'Hạng mục'!$A$6:$A$76,0))</f>
        <v>Senior Dev</v>
      </c>
      <c r="F50" s="74">
        <f>INDEX('Hạng mục'!$F$6:$F$76,MATCH($A50,'Hạng mục'!$A$6:$A$76,0))</f>
        <v>3</v>
      </c>
      <c r="G50" s="15"/>
      <c r="H50" s="74">
        <f t="shared" si="2"/>
        <v>3</v>
      </c>
      <c r="I50" s="31">
        <f>INDEX('Hạng mục'!$G$6:$G$76,MATCH($A50,'Hạng mục'!$A$6:$A$76,0))</f>
        <v>1400000</v>
      </c>
      <c r="J50" s="31">
        <f t="shared" si="3"/>
        <v>4200000</v>
      </c>
      <c r="K50" s="32">
        <v>1</v>
      </c>
    </row>
    <row r="51" spans="1:11" ht="30" customHeight="1" x14ac:dyDescent="0.25">
      <c r="A51" s="34" t="s">
        <v>346</v>
      </c>
      <c r="B51" s="35" t="s">
        <v>347</v>
      </c>
      <c r="C51" s="36" t="str">
        <f>INDEX('Hạng mục'!$C$6:$C$76,MATCH($A51,'Hạng mục'!$A$6:$A$76,0))</f>
        <v>Tích hợp Zalo SDK</v>
      </c>
      <c r="D51" s="37" t="str">
        <f>INDEX('Hạng mục'!$D$6:$D$76,MATCH($A51,'Hạng mục'!$A$6:$A$76,0))</f>
        <v>Đăng nhập, lấy thông tin người dùng</v>
      </c>
      <c r="E51" s="34" t="str">
        <f>INDEX('Hạng mục'!$E$6:$E$76,MATCH($A51,'Hạng mục'!$A$6:$A$76,0))</f>
        <v>Senior Dev</v>
      </c>
      <c r="F51" s="75">
        <f>INDEX('Hạng mục'!$F$6:$F$76,MATCH($A51,'Hạng mục'!$A$6:$A$76,0))</f>
        <v>3</v>
      </c>
      <c r="G51" s="15"/>
      <c r="H51" s="75">
        <f t="shared" si="2"/>
        <v>3</v>
      </c>
      <c r="I51" s="40">
        <f>INDEX('Hạng mục'!$G$6:$G$76,MATCH($A51,'Hạng mục'!$A$6:$A$76,0))</f>
        <v>1400000</v>
      </c>
      <c r="J51" s="40">
        <f t="shared" si="3"/>
        <v>0</v>
      </c>
      <c r="K51" s="32">
        <v>0</v>
      </c>
    </row>
    <row r="52" spans="1:11" ht="30" customHeight="1" x14ac:dyDescent="0.25">
      <c r="A52" s="34" t="s">
        <v>350</v>
      </c>
      <c r="B52" s="35" t="s">
        <v>347</v>
      </c>
      <c r="C52" s="36" t="str">
        <f>INDEX('Hạng mục'!$C$6:$C$76,MATCH($A52,'Hạng mục'!$A$6:$A$76,0))</f>
        <v>Nghiệp vụ chính của Mini App</v>
      </c>
      <c r="D52" s="37" t="str">
        <f>INDEX('Hạng mục'!$D$6:$D$76,MATCH($A52,'Hạng mục'!$A$6:$A$76,0))</f>
        <v>Ví dụ điểm danh, danh sách, ghi chú</v>
      </c>
      <c r="E52" s="34" t="str">
        <f>INDEX('Hạng mục'!$E$6:$E$76,MATCH($A52,'Hạng mục'!$A$6:$A$76,0))</f>
        <v>Senior Dev</v>
      </c>
      <c r="F52" s="75">
        <f>INDEX('Hạng mục'!$F$6:$F$76,MATCH($A52,'Hạng mục'!$A$6:$A$76,0))</f>
        <v>8</v>
      </c>
      <c r="G52" s="15"/>
      <c r="H52" s="75">
        <f t="shared" si="2"/>
        <v>8</v>
      </c>
      <c r="I52" s="40">
        <f>INDEX('Hạng mục'!$G$6:$G$76,MATCH($A52,'Hạng mục'!$A$6:$A$76,0))</f>
        <v>1400000</v>
      </c>
      <c r="J52" s="40">
        <f t="shared" si="3"/>
        <v>0</v>
      </c>
      <c r="K52" s="32">
        <v>0</v>
      </c>
    </row>
    <row r="53" spans="1:11" ht="30" customHeight="1" x14ac:dyDescent="0.25">
      <c r="A53" s="34" t="s">
        <v>353</v>
      </c>
      <c r="B53" s="35" t="s">
        <v>347</v>
      </c>
      <c r="C53" s="36" t="str">
        <f>INDEX('Hạng mục'!$C$6:$C$76,MATCH($A53,'Hạng mục'!$A$6:$A$76,0))</f>
        <v>Gửi thông báo ZNS</v>
      </c>
      <c r="D53" s="37" t="str">
        <f>INDEX('Hạng mục'!$D$6:$D$76,MATCH($A53,'Hạng mục'!$A$6:$A$76,0))</f>
        <v>Tin nhắn thông báo qua Zalo</v>
      </c>
      <c r="E53" s="34" t="str">
        <f>INDEX('Hạng mục'!$E$6:$E$76,MATCH($A53,'Hạng mục'!$A$6:$A$76,0))</f>
        <v>Senior Dev</v>
      </c>
      <c r="F53" s="75">
        <f>INDEX('Hạng mục'!$F$6:$F$76,MATCH($A53,'Hạng mục'!$A$6:$A$76,0))</f>
        <v>3</v>
      </c>
      <c r="G53" s="15"/>
      <c r="H53" s="75">
        <f t="shared" si="2"/>
        <v>3</v>
      </c>
      <c r="I53" s="40">
        <f>INDEX('Hạng mục'!$G$6:$G$76,MATCH($A53,'Hạng mục'!$A$6:$A$76,0))</f>
        <v>1400000</v>
      </c>
      <c r="J53" s="40">
        <f t="shared" si="3"/>
        <v>0</v>
      </c>
      <c r="K53" s="32">
        <v>0</v>
      </c>
    </row>
    <row r="54" spans="1:11" ht="30" customHeight="1" x14ac:dyDescent="0.25">
      <c r="A54" s="34" t="s">
        <v>356</v>
      </c>
      <c r="B54" s="35" t="s">
        <v>347</v>
      </c>
      <c r="C54" s="36" t="str">
        <f>INDEX('Hạng mục'!$C$6:$C$76,MATCH($A54,'Hạng mục'!$A$6:$A$76,0))</f>
        <v>Thanh toán trong Mini App (Checkout SDK)</v>
      </c>
      <c r="D54" s="37" t="str">
        <f>INDEX('Hạng mục'!$D$6:$D$76,MATCH($A54,'Hạng mục'!$A$6:$A$76,0))</f>
        <v>Thanh toán ngay trong Zalo</v>
      </c>
      <c r="E54" s="34" t="str">
        <f>INDEX('Hạng mục'!$E$6:$E$76,MATCH($A54,'Hạng mục'!$A$6:$A$76,0))</f>
        <v>Senior Dev</v>
      </c>
      <c r="F54" s="75">
        <f>INDEX('Hạng mục'!$F$6:$F$76,MATCH($A54,'Hạng mục'!$A$6:$A$76,0))</f>
        <v>5</v>
      </c>
      <c r="G54" s="15"/>
      <c r="H54" s="75">
        <f t="shared" si="2"/>
        <v>5</v>
      </c>
      <c r="I54" s="40">
        <f>INDEX('Hạng mục'!$G$6:$G$76,MATCH($A54,'Hạng mục'!$A$6:$A$76,0))</f>
        <v>1400000</v>
      </c>
      <c r="J54" s="40">
        <f t="shared" si="3"/>
        <v>0</v>
      </c>
      <c r="K54" s="32">
        <v>0</v>
      </c>
    </row>
    <row r="55" spans="1:11" ht="30" customHeight="1" x14ac:dyDescent="0.25">
      <c r="A55" s="34" t="s">
        <v>359</v>
      </c>
      <c r="B55" s="35" t="s">
        <v>347</v>
      </c>
      <c r="C55" s="36" t="str">
        <f>INDEX('Hạng mục'!$C$6:$C$76,MATCH($A55,'Hạng mục'!$A$6:$A$76,0))</f>
        <v>Gửi hồ sơ duyệt Mini App và chỉnh theo phản hồi</v>
      </c>
      <c r="D55" s="37" t="str">
        <f>INDEX('Hạng mục'!$D$6:$D$76,MATCH($A55,'Hạng mục'!$A$6:$A$76,0))</f>
        <v>Mini App được Zalo duyệt phát hành</v>
      </c>
      <c r="E55" s="34" t="str">
        <f>INDEX('Hạng mục'!$E$6:$E$76,MATCH($A55,'Hạng mục'!$A$6:$A$76,0))</f>
        <v>Senior Dev</v>
      </c>
      <c r="F55" s="75">
        <f>INDEX('Hạng mục'!$F$6:$F$76,MATCH($A55,'Hạng mục'!$A$6:$A$76,0))</f>
        <v>3</v>
      </c>
      <c r="G55" s="15"/>
      <c r="H55" s="75">
        <f t="shared" si="2"/>
        <v>3</v>
      </c>
      <c r="I55" s="40">
        <f>INDEX('Hạng mục'!$G$6:$G$76,MATCH($A55,'Hạng mục'!$A$6:$A$76,0))</f>
        <v>1400000</v>
      </c>
      <c r="J55" s="40">
        <f t="shared" si="3"/>
        <v>0</v>
      </c>
      <c r="K55" s="32">
        <v>0</v>
      </c>
    </row>
    <row r="56" spans="1:11" ht="30" customHeight="1" x14ac:dyDescent="0.25">
      <c r="A56" s="25" t="s">
        <v>362</v>
      </c>
      <c r="B56" s="26" t="s">
        <v>363</v>
      </c>
      <c r="C56" s="27" t="str">
        <f>INDEX('Hạng mục'!$C$6:$C$76,MATCH($A56,'Hạng mục'!$A$6:$A$76,0))</f>
        <v>Gửi email giao dịch (SMTP/API)</v>
      </c>
      <c r="D56" s="28" t="str">
        <f>INDEX('Hạng mục'!$D$6:$D$76,MATCH($A56,'Hạng mục'!$A$6:$A$76,0))</f>
        <v>Email xác nhận, thông báo</v>
      </c>
      <c r="E56" s="25" t="str">
        <f>INDEX('Hạng mục'!$E$6:$E$76,MATCH($A56,'Hạng mục'!$A$6:$A$76,0))</f>
        <v>Senior Dev</v>
      </c>
      <c r="F56" s="74">
        <f>INDEX('Hạng mục'!$F$6:$F$76,MATCH($A56,'Hạng mục'!$A$6:$A$76,0))</f>
        <v>2</v>
      </c>
      <c r="G56" s="15"/>
      <c r="H56" s="74">
        <f t="shared" si="2"/>
        <v>2</v>
      </c>
      <c r="I56" s="31">
        <f>INDEX('Hạng mục'!$G$6:$G$76,MATCH($A56,'Hạng mục'!$A$6:$A$76,0))</f>
        <v>1400000</v>
      </c>
      <c r="J56" s="31">
        <f t="shared" si="3"/>
        <v>2800000</v>
      </c>
      <c r="K56" s="32">
        <v>1</v>
      </c>
    </row>
    <row r="57" spans="1:11" ht="30" customHeight="1" x14ac:dyDescent="0.25">
      <c r="A57" s="25" t="s">
        <v>366</v>
      </c>
      <c r="B57" s="26" t="s">
        <v>363</v>
      </c>
      <c r="C57" s="27" t="str">
        <f>INDEX('Hạng mục'!$C$6:$C$76,MATCH($A57,'Hạng mục'!$A$6:$A$76,0))</f>
        <v>Google Analytics, Tag Manager, Meta Pixel</v>
      </c>
      <c r="D57" s="28" t="str">
        <f>INDEX('Hạng mục'!$D$6:$D$76,MATCH($A57,'Hạng mục'!$A$6:$A$76,0))</f>
        <v>Theo dõi lượt truy cập, chuyển đổi</v>
      </c>
      <c r="E57" s="25" t="str">
        <f>INDEX('Hạng mục'!$E$6:$E$76,MATCH($A57,'Hạng mục'!$A$6:$A$76,0))</f>
        <v>Senior Dev</v>
      </c>
      <c r="F57" s="74">
        <f>INDEX('Hạng mục'!$F$6:$F$76,MATCH($A57,'Hạng mục'!$A$6:$A$76,0))</f>
        <v>1</v>
      </c>
      <c r="G57" s="15"/>
      <c r="H57" s="74">
        <f t="shared" si="2"/>
        <v>1</v>
      </c>
      <c r="I57" s="31">
        <f>INDEX('Hạng mục'!$G$6:$G$76,MATCH($A57,'Hạng mục'!$A$6:$A$76,0))</f>
        <v>1400000</v>
      </c>
      <c r="J57" s="31">
        <f t="shared" si="3"/>
        <v>1400000</v>
      </c>
      <c r="K57" s="32">
        <v>1</v>
      </c>
    </row>
    <row r="58" spans="1:11" ht="30" customHeight="1" x14ac:dyDescent="0.25">
      <c r="A58" s="25" t="s">
        <v>369</v>
      </c>
      <c r="B58" s="26" t="s">
        <v>363</v>
      </c>
      <c r="C58" s="27" t="str">
        <f>INDEX('Hạng mục'!$C$6:$C$76,MATCH($A58,'Hạng mục'!$A$6:$A$76,0))</f>
        <v>Đăng nhập Microsoft/Google (OAuth, Azure AD)</v>
      </c>
      <c r="D58" s="28" t="str">
        <f>INDEX('Hạng mục'!$D$6:$D$76,MATCH($A58,'Hạng mục'!$A$6:$A$76,0))</f>
        <v>Đăng nhập bằng tài khoản có sẵn</v>
      </c>
      <c r="E58" s="25" t="str">
        <f>INDEX('Hạng mục'!$E$6:$E$76,MATCH($A58,'Hạng mục'!$A$6:$A$76,0))</f>
        <v>Senior Dev</v>
      </c>
      <c r="F58" s="74">
        <f>INDEX('Hạng mục'!$F$6:$F$76,MATCH($A58,'Hạng mục'!$A$6:$A$76,0))</f>
        <v>3</v>
      </c>
      <c r="G58" s="15"/>
      <c r="H58" s="74">
        <f t="shared" si="2"/>
        <v>3</v>
      </c>
      <c r="I58" s="31">
        <f>INDEX('Hạng mục'!$G$6:$G$76,MATCH($A58,'Hạng mục'!$A$6:$A$76,0))</f>
        <v>1400000</v>
      </c>
      <c r="J58" s="31">
        <f t="shared" si="3"/>
        <v>0</v>
      </c>
      <c r="K58" s="32">
        <v>0</v>
      </c>
    </row>
    <row r="59" spans="1:11" ht="30" customHeight="1" x14ac:dyDescent="0.25">
      <c r="A59" s="25" t="s">
        <v>372</v>
      </c>
      <c r="B59" s="26" t="s">
        <v>363</v>
      </c>
      <c r="C59" s="27" t="str">
        <f>INDEX('Hạng mục'!$C$6:$C$76,MATCH($A59,'Hạng mục'!$A$6:$A$76,0))</f>
        <v>Cổng thanh toán (VNPay, MoMo, QR)</v>
      </c>
      <c r="D59" s="28" t="str">
        <f>INDEX('Hạng mục'!$D$6:$D$76,MATCH($A59,'Hạng mục'!$A$6:$A$76,0))</f>
        <v>Thanh toán trực tuyến</v>
      </c>
      <c r="E59" s="25" t="str">
        <f>INDEX('Hạng mục'!$E$6:$E$76,MATCH($A59,'Hạng mục'!$A$6:$A$76,0))</f>
        <v>Senior Dev</v>
      </c>
      <c r="F59" s="74">
        <f>INDEX('Hạng mục'!$F$6:$F$76,MATCH($A59,'Hạng mục'!$A$6:$A$76,0))</f>
        <v>5</v>
      </c>
      <c r="G59" s="15"/>
      <c r="H59" s="74">
        <f t="shared" si="2"/>
        <v>5</v>
      </c>
      <c r="I59" s="31">
        <f>INDEX('Hạng mục'!$G$6:$G$76,MATCH($A59,'Hạng mục'!$A$6:$A$76,0))</f>
        <v>1400000</v>
      </c>
      <c r="J59" s="31">
        <f t="shared" si="3"/>
        <v>0</v>
      </c>
      <c r="K59" s="32">
        <v>0</v>
      </c>
    </row>
    <row r="60" spans="1:11" ht="30" customHeight="1" x14ac:dyDescent="0.25">
      <c r="A60" s="25" t="s">
        <v>374</v>
      </c>
      <c r="B60" s="26" t="s">
        <v>363</v>
      </c>
      <c r="C60" s="27" t="str">
        <f>INDEX('Hạng mục'!$C$6:$C$76,MATCH($A60,'Hạng mục'!$A$6:$A$76,0))</f>
        <v>Tích hợp ERP, kế toán hoặc API bên thứ ba</v>
      </c>
      <c r="D60" s="28" t="str">
        <f>INDEX('Hạng mục'!$D$6:$D$76,MATCH($A60,'Hạng mục'!$A$6:$A$76,0))</f>
        <v>Đồng bộ dữ liệu hai chiều</v>
      </c>
      <c r="E60" s="25" t="str">
        <f>INDEX('Hạng mục'!$E$6:$E$76,MATCH($A60,'Hạng mục'!$A$6:$A$76,0))</f>
        <v>Senior Dev</v>
      </c>
      <c r="F60" s="74">
        <f>INDEX('Hạng mục'!$F$6:$F$76,MATCH($A60,'Hạng mục'!$A$6:$A$76,0))</f>
        <v>5</v>
      </c>
      <c r="G60" s="15"/>
      <c r="H60" s="74">
        <f t="shared" si="2"/>
        <v>5</v>
      </c>
      <c r="I60" s="31">
        <f>INDEX('Hạng mục'!$G$6:$G$76,MATCH($A60,'Hạng mục'!$A$6:$A$76,0))</f>
        <v>1400000</v>
      </c>
      <c r="J60" s="31">
        <f t="shared" si="3"/>
        <v>0</v>
      </c>
      <c r="K60" s="32">
        <v>0</v>
      </c>
    </row>
    <row r="61" spans="1:11" ht="30" customHeight="1" x14ac:dyDescent="0.25">
      <c r="A61" s="25" t="s">
        <v>377</v>
      </c>
      <c r="B61" s="26" t="s">
        <v>363</v>
      </c>
      <c r="C61" s="27" t="str">
        <f>INDEX('Hạng mục'!$C$6:$C$76,MATCH($A61,'Hạng mục'!$A$6:$A$76,0))</f>
        <v>Chuyển dữ liệu cũ sang hệ thống mới</v>
      </c>
      <c r="D61" s="28" t="str">
        <f>INDEX('Hạng mục'!$D$6:$D$76,MATCH($A61,'Hạng mục'!$A$6:$A$76,0))</f>
        <v>Làm sạch và nhập dữ liệu cũ</v>
      </c>
      <c r="E61" s="25" t="str">
        <f>INDEX('Hạng mục'!$E$6:$E$76,MATCH($A61,'Hạng mục'!$A$6:$A$76,0))</f>
        <v>Senior Dev</v>
      </c>
      <c r="F61" s="74">
        <f>INDEX('Hạng mục'!$F$6:$F$76,MATCH($A61,'Hạng mục'!$A$6:$A$76,0))</f>
        <v>4</v>
      </c>
      <c r="G61" s="15"/>
      <c r="H61" s="74">
        <f t="shared" si="2"/>
        <v>4</v>
      </c>
      <c r="I61" s="31">
        <f>INDEX('Hạng mục'!$G$6:$G$76,MATCH($A61,'Hạng mục'!$A$6:$A$76,0))</f>
        <v>1400000</v>
      </c>
      <c r="J61" s="31">
        <f t="shared" si="3"/>
        <v>0</v>
      </c>
      <c r="K61" s="32">
        <v>0</v>
      </c>
    </row>
    <row r="62" spans="1:11" ht="30" customHeight="1" x14ac:dyDescent="0.25">
      <c r="A62" s="25" t="s">
        <v>380</v>
      </c>
      <c r="B62" s="26" t="s">
        <v>363</v>
      </c>
      <c r="C62" s="27" t="str">
        <f>INDEX('Hạng mục'!$C$6:$C$76,MATCH($A62,'Hạng mục'!$A$6:$A$76,0))</f>
        <v>Chức năng theo yêu cầu riêng (khối lượng thỏa thuận)</v>
      </c>
      <c r="D62" s="28" t="str">
        <f>INDEX('Hạng mục'!$D$6:$D$76,MATCH($A62,'Hạng mục'!$A$6:$A$76,0))</f>
        <v>Chức năng ngoài danh sách, khối lượng chốt sau khi phân tích</v>
      </c>
      <c r="E62" s="25" t="str">
        <f>INDEX('Hạng mục'!$E$6:$E$76,MATCH($A62,'Hạng mục'!$A$6:$A$76,0))</f>
        <v>Senior Dev</v>
      </c>
      <c r="F62" s="74">
        <f>INDEX('Hạng mục'!$F$6:$F$76,MATCH($A62,'Hạng mục'!$A$6:$A$76,0))</f>
        <v>10</v>
      </c>
      <c r="G62" s="15"/>
      <c r="H62" s="74">
        <f t="shared" si="2"/>
        <v>10</v>
      </c>
      <c r="I62" s="31">
        <f>INDEX('Hạng mục'!$G$6:$G$76,MATCH($A62,'Hạng mục'!$A$6:$A$76,0))</f>
        <v>1400000</v>
      </c>
      <c r="J62" s="31">
        <f t="shared" si="3"/>
        <v>0</v>
      </c>
      <c r="K62" s="32">
        <v>0</v>
      </c>
    </row>
    <row r="63" spans="1:11" ht="30" customHeight="1" x14ac:dyDescent="0.25">
      <c r="A63" s="34" t="s">
        <v>383</v>
      </c>
      <c r="B63" s="35" t="s">
        <v>384</v>
      </c>
      <c r="C63" s="36" t="str">
        <f>INDEX('Hạng mục'!$C$6:$C$76,MATCH($A63,'Hạng mục'!$A$6:$A$76,0))</f>
        <v>Kiểm thử cơ bản (trình duyệt, thiết bị, liên kết)</v>
      </c>
      <c r="D63" s="37" t="str">
        <f>INDEX('Hạng mục'!$D$6:$D$76,MATCH($A63,'Hạng mục'!$A$6:$A$76,0))</f>
        <v>Báo cáo kiểm thử và danh sách lỗi đã sửa</v>
      </c>
      <c r="E63" s="34" t="str">
        <f>INDEX('Hạng mục'!$E$6:$E$76,MATCH($A63,'Hạng mục'!$A$6:$A$76,0))</f>
        <v>QA</v>
      </c>
      <c r="F63" s="75">
        <f>INDEX('Hạng mục'!$F$6:$F$76,MATCH($A63,'Hạng mục'!$A$6:$A$76,0))</f>
        <v>1.5</v>
      </c>
      <c r="G63" s="15"/>
      <c r="H63" s="75">
        <f t="shared" si="2"/>
        <v>1.5</v>
      </c>
      <c r="I63" s="40">
        <f>INDEX('Hạng mục'!$G$6:$G$76,MATCH($A63,'Hạng mục'!$A$6:$A$76,0))</f>
        <v>700000</v>
      </c>
      <c r="J63" s="40">
        <f t="shared" si="3"/>
        <v>1050000</v>
      </c>
      <c r="K63" s="32">
        <v>1</v>
      </c>
    </row>
    <row r="64" spans="1:11" ht="30" customHeight="1" x14ac:dyDescent="0.25">
      <c r="A64" s="34" t="s">
        <v>387</v>
      </c>
      <c r="B64" s="35" t="s">
        <v>384</v>
      </c>
      <c r="C64" s="36" t="str">
        <f>INDEX('Hạng mục'!$C$6:$C$76,MATCH($A64,'Hạng mục'!$A$6:$A$76,0))</f>
        <v>Kiểm thử chức năng hệ thống (test case, hồi quy)</v>
      </c>
      <c r="D64" s="37" t="str">
        <f>INDEX('Hạng mục'!$D$6:$D$76,MATCH($A64,'Hạng mục'!$A$6:$A$76,0))</f>
        <v>Bộ test case và báo cáo</v>
      </c>
      <c r="E64" s="34" t="str">
        <f>INDEX('Hạng mục'!$E$6:$E$76,MATCH($A64,'Hạng mục'!$A$6:$A$76,0))</f>
        <v>QA</v>
      </c>
      <c r="F64" s="75">
        <f>INDEX('Hạng mục'!$F$6:$F$76,MATCH($A64,'Hạng mục'!$A$6:$A$76,0))</f>
        <v>8</v>
      </c>
      <c r="G64" s="15"/>
      <c r="H64" s="75">
        <f t="shared" si="2"/>
        <v>8</v>
      </c>
      <c r="I64" s="40">
        <f>INDEX('Hạng mục'!$G$6:$G$76,MATCH($A64,'Hạng mục'!$A$6:$A$76,0))</f>
        <v>700000</v>
      </c>
      <c r="J64" s="40">
        <f t="shared" si="3"/>
        <v>5600000</v>
      </c>
      <c r="K64" s="32">
        <v>1</v>
      </c>
    </row>
    <row r="65" spans="1:11" ht="30" customHeight="1" x14ac:dyDescent="0.25">
      <c r="A65" s="34" t="s">
        <v>390</v>
      </c>
      <c r="B65" s="35" t="s">
        <v>384</v>
      </c>
      <c r="C65" s="36" t="str">
        <f>INDEX('Hạng mục'!$C$6:$C$76,MATCH($A65,'Hạng mục'!$A$6:$A$76,0))</f>
        <v>Kiểm tra bảo mật cơ bản (OWASP)</v>
      </c>
      <c r="D65" s="37" t="str">
        <f>INDEX('Hạng mục'!$D$6:$D$76,MATCH($A65,'Hạng mục'!$A$6:$A$76,0))</f>
        <v>Checklist bảo mật đã xử lý</v>
      </c>
      <c r="E65" s="34" t="str">
        <f>INDEX('Hạng mục'!$E$6:$E$76,MATCH($A65,'Hạng mục'!$A$6:$A$76,0))</f>
        <v>Senior Dev</v>
      </c>
      <c r="F65" s="75">
        <f>INDEX('Hạng mục'!$F$6:$F$76,MATCH($A65,'Hạng mục'!$A$6:$A$76,0))</f>
        <v>2</v>
      </c>
      <c r="G65" s="15"/>
      <c r="H65" s="75">
        <f t="shared" si="2"/>
        <v>2</v>
      </c>
      <c r="I65" s="40">
        <f>INDEX('Hạng mục'!$G$6:$G$76,MATCH($A65,'Hạng mục'!$A$6:$A$76,0))</f>
        <v>1400000</v>
      </c>
      <c r="J65" s="40">
        <f t="shared" si="3"/>
        <v>2800000</v>
      </c>
      <c r="K65" s="32">
        <v>1</v>
      </c>
    </row>
    <row r="66" spans="1:11" ht="30" customHeight="1" x14ac:dyDescent="0.25">
      <c r="A66" s="34" t="s">
        <v>393</v>
      </c>
      <c r="B66" s="35" t="s">
        <v>384</v>
      </c>
      <c r="C66" s="36" t="str">
        <f>INDEX('Hạng mục'!$C$6:$C$76,MATCH($A66,'Hạng mục'!$A$6:$A$76,0))</f>
        <v>Kiểm thử tải và hiệu năng</v>
      </c>
      <c r="D66" s="37" t="str">
        <f>INDEX('Hạng mục'!$D$6:$D$76,MATCH($A66,'Hạng mục'!$A$6:$A$76,0))</f>
        <v>Báo cáo hiệu năng dưới tải</v>
      </c>
      <c r="E66" s="34" t="str">
        <f>INDEX('Hạng mục'!$E$6:$E$76,MATCH($A66,'Hạng mục'!$A$6:$A$76,0))</f>
        <v>QA</v>
      </c>
      <c r="F66" s="75">
        <f>INDEX('Hạng mục'!$F$6:$F$76,MATCH($A66,'Hạng mục'!$A$6:$A$76,0))</f>
        <v>2</v>
      </c>
      <c r="G66" s="15"/>
      <c r="H66" s="75">
        <f t="shared" si="2"/>
        <v>2</v>
      </c>
      <c r="I66" s="40">
        <f>INDEX('Hạng mục'!$G$6:$G$76,MATCH($A66,'Hạng mục'!$A$6:$A$76,0))</f>
        <v>700000</v>
      </c>
      <c r="J66" s="40">
        <f t="shared" si="3"/>
        <v>0</v>
      </c>
      <c r="K66" s="32">
        <v>0</v>
      </c>
    </row>
    <row r="67" spans="1:11" ht="30" customHeight="1" x14ac:dyDescent="0.25">
      <c r="A67" s="34" t="s">
        <v>396</v>
      </c>
      <c r="B67" s="35" t="s">
        <v>384</v>
      </c>
      <c r="C67" s="36" t="str">
        <f>INDEX('Hạng mục'!$C$6:$C$76,MATCH($A67,'Hạng mục'!$A$6:$A$76,0))</f>
        <v>UAT cùng khách hàng và sửa lỗi</v>
      </c>
      <c r="D67" s="37" t="str">
        <f>INDEX('Hạng mục'!$D$6:$D$76,MATCH($A67,'Hạng mục'!$A$6:$A$76,0))</f>
        <v>Khách dùng thử, lỗi được sửa trước nghiệm thu</v>
      </c>
      <c r="E67" s="34" t="str">
        <f>INDEX('Hạng mục'!$E$6:$E$76,MATCH($A67,'Hạng mục'!$A$6:$A$76,0))</f>
        <v>Senior Dev</v>
      </c>
      <c r="F67" s="75">
        <f>INDEX('Hạng mục'!$F$6:$F$76,MATCH($A67,'Hạng mục'!$A$6:$A$76,0))</f>
        <v>2</v>
      </c>
      <c r="G67" s="15"/>
      <c r="H67" s="75">
        <f t="shared" si="2"/>
        <v>2</v>
      </c>
      <c r="I67" s="40">
        <f>INDEX('Hạng mục'!$G$6:$G$76,MATCH($A67,'Hạng mục'!$A$6:$A$76,0))</f>
        <v>1400000</v>
      </c>
      <c r="J67" s="40">
        <f t="shared" si="3"/>
        <v>2800000</v>
      </c>
      <c r="K67" s="32">
        <v>1</v>
      </c>
    </row>
    <row r="68" spans="1:11" ht="30" customHeight="1" x14ac:dyDescent="0.25">
      <c r="A68" s="25" t="s">
        <v>399</v>
      </c>
      <c r="B68" s="26" t="s">
        <v>400</v>
      </c>
      <c r="C68" s="27" t="str">
        <f>INDEX('Hạng mục'!$C$6:$C$76,MATCH($A68,'Hạng mục'!$A$6:$A$76,0))</f>
        <v>Tên miền, DNS, chứng chỉ SSL</v>
      </c>
      <c r="D68" s="28" t="str">
        <f>INDEX('Hạng mục'!$D$6:$D$76,MATCH($A68,'Hạng mục'!$A$6:$A$76,0))</f>
        <v>Website chạy trên tên miền riêng có HTTPS</v>
      </c>
      <c r="E68" s="25" t="str">
        <f>INDEX('Hạng mục'!$E$6:$E$76,MATCH($A68,'Hạng mục'!$A$6:$A$76,0))</f>
        <v>DevOps</v>
      </c>
      <c r="F68" s="74">
        <f>INDEX('Hạng mục'!$F$6:$F$76,MATCH($A68,'Hạng mục'!$A$6:$A$76,0))</f>
        <v>0.5</v>
      </c>
      <c r="G68" s="15"/>
      <c r="H68" s="74">
        <f t="shared" si="2"/>
        <v>0.5</v>
      </c>
      <c r="I68" s="31">
        <f>INDEX('Hạng mục'!$G$6:$G$76,MATCH($A68,'Hạng mục'!$A$6:$A$76,0))</f>
        <v>1400000</v>
      </c>
      <c r="J68" s="31">
        <f t="shared" si="3"/>
        <v>700000</v>
      </c>
      <c r="K68" s="32">
        <v>1</v>
      </c>
    </row>
    <row r="69" spans="1:11" ht="30" customHeight="1" x14ac:dyDescent="0.25">
      <c r="A69" s="25" t="s">
        <v>403</v>
      </c>
      <c r="B69" s="26" t="s">
        <v>400</v>
      </c>
      <c r="C69" s="27" t="str">
        <f>INDEX('Hạng mục'!$C$6:$C$76,MATCH($A69,'Hạng mục'!$A$6:$A$76,0))</f>
        <v>Triển khai website tĩnh (hosting/CDN)</v>
      </c>
      <c r="D69" s="28" t="str">
        <f>INDEX('Hạng mục'!$D$6:$D$76,MATCH($A69,'Hạng mục'!$A$6:$A$76,0))</f>
        <v>Website chạy trên hosting nhanh, chi phí thấp</v>
      </c>
      <c r="E69" s="25" t="str">
        <f>INDEX('Hạng mục'!$E$6:$E$76,MATCH($A69,'Hạng mục'!$A$6:$A$76,0))</f>
        <v>DevOps</v>
      </c>
      <c r="F69" s="74">
        <f>INDEX('Hạng mục'!$F$6:$F$76,MATCH($A69,'Hạng mục'!$A$6:$A$76,0))</f>
        <v>0.5</v>
      </c>
      <c r="G69" s="15"/>
      <c r="H69" s="74">
        <f t="shared" si="2"/>
        <v>0.5</v>
      </c>
      <c r="I69" s="31">
        <f>INDEX('Hạng mục'!$G$6:$G$76,MATCH($A69,'Hạng mục'!$A$6:$A$76,0))</f>
        <v>1400000</v>
      </c>
      <c r="J69" s="31">
        <f t="shared" si="3"/>
        <v>0</v>
      </c>
      <c r="K69" s="32">
        <v>0</v>
      </c>
    </row>
    <row r="70" spans="1:11" ht="30" customHeight="1" x14ac:dyDescent="0.25">
      <c r="A70" s="25" t="s">
        <v>406</v>
      </c>
      <c r="B70" s="26" t="s">
        <v>400</v>
      </c>
      <c r="C70" s="27" t="str">
        <f>INDEX('Hạng mục'!$C$6:$C$76,MATCH($A70,'Hạng mục'!$A$6:$A$76,0))</f>
        <v>VPS, Docker Compose, Nginx, TLS</v>
      </c>
      <c r="D70" s="28" t="str">
        <f>INDEX('Hạng mục'!$D$6:$D$76,MATCH($A70,'Hạng mục'!$A$6:$A$76,0))</f>
        <v>Máy chủ ứng dụng cấu hình sẵn</v>
      </c>
      <c r="E70" s="25" t="str">
        <f>INDEX('Hạng mục'!$E$6:$E$76,MATCH($A70,'Hạng mục'!$A$6:$A$76,0))</f>
        <v>DevOps</v>
      </c>
      <c r="F70" s="74">
        <f>INDEX('Hạng mục'!$F$6:$F$76,MATCH($A70,'Hạng mục'!$A$6:$A$76,0))</f>
        <v>2</v>
      </c>
      <c r="G70" s="15"/>
      <c r="H70" s="74">
        <f t="shared" ref="H70:H76" si="4">IF(G70="",F70,G70)</f>
        <v>2</v>
      </c>
      <c r="I70" s="31">
        <f>INDEX('Hạng mục'!$G$6:$G$76,MATCH($A70,'Hạng mục'!$A$6:$A$76,0))</f>
        <v>1400000</v>
      </c>
      <c r="J70" s="31">
        <f t="shared" ref="J70:J76" si="5">H70*I70*K70</f>
        <v>2800000</v>
      </c>
      <c r="K70" s="32">
        <v>1</v>
      </c>
    </row>
    <row r="71" spans="1:11" ht="30" customHeight="1" x14ac:dyDescent="0.25">
      <c r="A71" s="25" t="s">
        <v>409</v>
      </c>
      <c r="B71" s="26" t="s">
        <v>400</v>
      </c>
      <c r="C71" s="27" t="str">
        <f>INDEX('Hạng mục'!$C$6:$C$76,MATCH($A71,'Hạng mục'!$A$6:$A$76,0))</f>
        <v>CI/CD tự động triển khai</v>
      </c>
      <c r="D71" s="28" t="str">
        <f>INDEX('Hạng mục'!$D$6:$D$76,MATCH($A71,'Hạng mục'!$A$6:$A$76,0))</f>
        <v>Đẩy mã lên là tự kiểm tra và triển khai</v>
      </c>
      <c r="E71" s="25" t="str">
        <f>INDEX('Hạng mục'!$E$6:$E$76,MATCH($A71,'Hạng mục'!$A$6:$A$76,0))</f>
        <v>DevOps</v>
      </c>
      <c r="F71" s="74">
        <f>INDEX('Hạng mục'!$F$6:$F$76,MATCH($A71,'Hạng mục'!$A$6:$A$76,0))</f>
        <v>2</v>
      </c>
      <c r="G71" s="15"/>
      <c r="H71" s="74">
        <f t="shared" si="4"/>
        <v>2</v>
      </c>
      <c r="I71" s="31">
        <f>INDEX('Hạng mục'!$G$6:$G$76,MATCH($A71,'Hạng mục'!$A$6:$A$76,0))</f>
        <v>1400000</v>
      </c>
      <c r="J71" s="31">
        <f t="shared" si="5"/>
        <v>2800000</v>
      </c>
      <c r="K71" s="32">
        <v>1</v>
      </c>
    </row>
    <row r="72" spans="1:11" ht="30" customHeight="1" x14ac:dyDescent="0.25">
      <c r="A72" s="25" t="s">
        <v>412</v>
      </c>
      <c r="B72" s="26" t="s">
        <v>400</v>
      </c>
      <c r="C72" s="27" t="str">
        <f>INDEX('Hạng mục'!$C$6:$C$76,MATCH($A72,'Hạng mục'!$A$6:$A$76,0))</f>
        <v>Giám sát, cảnh báo và sao lưu tự động</v>
      </c>
      <c r="D72" s="28" t="str">
        <f>INDEX('Hạng mục'!$D$6:$D$76,MATCH($A72,'Hạng mục'!$A$6:$A$76,0))</f>
        <v>Cảnh báo khi lỗi, sao lưu hằng ngày</v>
      </c>
      <c r="E72" s="25" t="str">
        <f>INDEX('Hạng mục'!$E$6:$E$76,MATCH($A72,'Hạng mục'!$A$6:$A$76,0))</f>
        <v>DevOps</v>
      </c>
      <c r="F72" s="74">
        <f>INDEX('Hạng mục'!$F$6:$F$76,MATCH($A72,'Hạng mục'!$A$6:$A$76,0))</f>
        <v>2</v>
      </c>
      <c r="G72" s="15"/>
      <c r="H72" s="74">
        <f t="shared" si="4"/>
        <v>2</v>
      </c>
      <c r="I72" s="31">
        <f>INDEX('Hạng mục'!$G$6:$G$76,MATCH($A72,'Hạng mục'!$A$6:$A$76,0))</f>
        <v>1400000</v>
      </c>
      <c r="J72" s="31">
        <f t="shared" si="5"/>
        <v>2800000</v>
      </c>
      <c r="K72" s="32">
        <v>1</v>
      </c>
    </row>
    <row r="73" spans="1:11" ht="30" customHeight="1" x14ac:dyDescent="0.25">
      <c r="A73" s="34" t="s">
        <v>415</v>
      </c>
      <c r="B73" s="35" t="s">
        <v>416</v>
      </c>
      <c r="C73" s="36" t="str">
        <f>INDEX('Hạng mục'!$C$6:$C$76,MATCH($A73,'Hạng mục'!$A$6:$A$76,0))</f>
        <v>Hướng dẫn cập nhật nội dung</v>
      </c>
      <c r="D73" s="37" t="str">
        <f>INDEX('Hạng mục'!$D$6:$D$76,MATCH($A73,'Hạng mục'!$A$6:$A$76,0))</f>
        <v>Tài liệu hoặc video ngắn</v>
      </c>
      <c r="E73" s="34" t="str">
        <f>INDEX('Hạng mục'!$E$6:$E$76,MATCH($A73,'Hạng mục'!$A$6:$A$76,0))</f>
        <v>PM/BA</v>
      </c>
      <c r="F73" s="75">
        <f>INDEX('Hạng mục'!$F$6:$F$76,MATCH($A73,'Hạng mục'!$A$6:$A$76,0))</f>
        <v>1</v>
      </c>
      <c r="G73" s="15"/>
      <c r="H73" s="75">
        <f t="shared" si="4"/>
        <v>1</v>
      </c>
      <c r="I73" s="40">
        <f>INDEX('Hạng mục'!$G$6:$G$76,MATCH($A73,'Hạng mục'!$A$6:$A$76,0))</f>
        <v>1050000</v>
      </c>
      <c r="J73" s="40">
        <f t="shared" si="5"/>
        <v>1050000</v>
      </c>
      <c r="K73" s="32">
        <v>1</v>
      </c>
    </row>
    <row r="74" spans="1:11" ht="30" customHeight="1" x14ac:dyDescent="0.25">
      <c r="A74" s="34" t="s">
        <v>419</v>
      </c>
      <c r="B74" s="35" t="s">
        <v>416</v>
      </c>
      <c r="C74" s="36" t="str">
        <f>INDEX('Hạng mục'!$C$6:$C$76,MATCH($A74,'Hạng mục'!$A$6:$A$76,0))</f>
        <v>Tài liệu kiến trúc và vận hành</v>
      </c>
      <c r="D74" s="37" t="str">
        <f>INDEX('Hạng mục'!$D$6:$D$76,MATCH($A74,'Hạng mục'!$A$6:$A$76,0))</f>
        <v>Kiến trúc, cách chạy, xử lý sự cố</v>
      </c>
      <c r="E74" s="34" t="str">
        <f>INDEX('Hạng mục'!$E$6:$E$76,MATCH($A74,'Hạng mục'!$A$6:$A$76,0))</f>
        <v>PM/BA</v>
      </c>
      <c r="F74" s="75">
        <f>INDEX('Hạng mục'!$F$6:$F$76,MATCH($A74,'Hạng mục'!$A$6:$A$76,0))</f>
        <v>2</v>
      </c>
      <c r="G74" s="15"/>
      <c r="H74" s="75">
        <f t="shared" si="4"/>
        <v>2</v>
      </c>
      <c r="I74" s="40">
        <f>INDEX('Hạng mục'!$G$6:$G$76,MATCH($A74,'Hạng mục'!$A$6:$A$76,0))</f>
        <v>1050000</v>
      </c>
      <c r="J74" s="40">
        <f t="shared" si="5"/>
        <v>2100000</v>
      </c>
      <c r="K74" s="32">
        <v>1</v>
      </c>
    </row>
    <row r="75" spans="1:11" ht="30" customHeight="1" x14ac:dyDescent="0.25">
      <c r="A75" s="34" t="s">
        <v>422</v>
      </c>
      <c r="B75" s="35" t="s">
        <v>416</v>
      </c>
      <c r="C75" s="36" t="str">
        <f>INDEX('Hạng mục'!$C$6:$C$76,MATCH($A75,'Hạng mục'!$A$6:$A$76,0))</f>
        <v>Đào tạo người dùng (1 đến 2 buổi)</v>
      </c>
      <c r="D75" s="37" t="str">
        <f>INDEX('Hạng mục'!$D$6:$D$76,MATCH($A75,'Hạng mục'!$A$6:$A$76,0))</f>
        <v>Buổi đào tạo trực tiếp hoặc trực tuyến</v>
      </c>
      <c r="E75" s="34" t="str">
        <f>INDEX('Hạng mục'!$E$6:$E$76,MATCH($A75,'Hạng mục'!$A$6:$A$76,0))</f>
        <v>PM/BA</v>
      </c>
      <c r="F75" s="75">
        <f>INDEX('Hạng mục'!$F$6:$F$76,MATCH($A75,'Hạng mục'!$A$6:$A$76,0))</f>
        <v>1</v>
      </c>
      <c r="G75" s="15"/>
      <c r="H75" s="75">
        <f t="shared" si="4"/>
        <v>1</v>
      </c>
      <c r="I75" s="40">
        <f>INDEX('Hạng mục'!$G$6:$G$76,MATCH($A75,'Hạng mục'!$A$6:$A$76,0))</f>
        <v>1050000</v>
      </c>
      <c r="J75" s="40">
        <f t="shared" si="5"/>
        <v>1050000</v>
      </c>
      <c r="K75" s="32">
        <v>1</v>
      </c>
    </row>
    <row r="76" spans="1:11" ht="30" customHeight="1" x14ac:dyDescent="0.25">
      <c r="A76" s="34" t="s">
        <v>425</v>
      </c>
      <c r="B76" s="35" t="s">
        <v>416</v>
      </c>
      <c r="C76" s="36" t="str">
        <f>INDEX('Hạng mục'!$C$6:$C$76,MATCH($A76,'Hạng mục'!$A$6:$A$76,0))</f>
        <v>Bàn giao mã nguồn và tài khoản</v>
      </c>
      <c r="D76" s="37" t="str">
        <f>INDEX('Hạng mục'!$D$6:$D$76,MATCH($A76,'Hạng mục'!$A$6:$A$76,0))</f>
        <v>Mã nguồn, tài khoản quản trị, tài khoản hạ tầng</v>
      </c>
      <c r="E76" s="34" t="str">
        <f>INDEX('Hạng mục'!$E$6:$E$76,MATCH($A76,'Hạng mục'!$A$6:$A$76,0))</f>
        <v>Senior Dev</v>
      </c>
      <c r="F76" s="75">
        <f>INDEX('Hạng mục'!$F$6:$F$76,MATCH($A76,'Hạng mục'!$A$6:$A$76,0))</f>
        <v>0.5</v>
      </c>
      <c r="G76" s="15"/>
      <c r="H76" s="75">
        <f t="shared" si="4"/>
        <v>0.5</v>
      </c>
      <c r="I76" s="40">
        <f>INDEX('Hạng mục'!$G$6:$G$76,MATCH($A76,'Hạng mục'!$A$6:$A$76,0))</f>
        <v>1400000</v>
      </c>
      <c r="J76" s="40">
        <f t="shared" si="5"/>
        <v>700000</v>
      </c>
      <c r="K76" s="32">
        <v>1</v>
      </c>
    </row>
    <row r="77" spans="1:11" x14ac:dyDescent="0.25">
      <c r="A77" s="42"/>
      <c r="B77" s="42"/>
      <c r="C77" s="43" t="s">
        <v>607</v>
      </c>
      <c r="D77" s="42"/>
      <c r="E77" s="42"/>
      <c r="F77" s="42"/>
      <c r="G77" s="42"/>
      <c r="H77" s="45">
        <f>SUMPRODUCT(H6:H76,K6:K76)</f>
        <v>136</v>
      </c>
      <c r="I77" s="42"/>
      <c r="J77" s="46">
        <f>SUM(J6:J76)</f>
        <v>174650000</v>
      </c>
      <c r="K77" s="47">
        <f>SUM(K6:K76)</f>
        <v>43</v>
      </c>
    </row>
  </sheetData>
  <autoFilter ref="A5:K76" xr:uid="{00000000-0009-0000-0000-00000A000000}"/>
  <dataValidations count="1">
    <dataValidation type="list" sqref="K6:K76" xr:uid="{00000000-0002-0000-0A00-000000000000}">
      <formula1>"0,1"</formula1>
    </dataValidation>
  </dataValidation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Hướng dẫn</vt:lpstr>
      <vt:lpstr>Bảng giá đề xuất</vt:lpstr>
      <vt:lpstr>Thông số</vt:lpstr>
      <vt:lpstr>Hạng mục</vt:lpstr>
      <vt:lpstr>Gói cấp độ</vt:lpstr>
      <vt:lpstr>So sánh gói</vt:lpstr>
      <vt:lpstr>Tổng hợp gói</vt:lpstr>
      <vt:lpstr>Vận hành</vt:lpstr>
      <vt:lpstr>Báo giá khách</vt:lpstr>
      <vt:lpstr>TT Anh ngữ ABC - Báo giá</vt:lpstr>
      <vt:lpstr>TT Anh ngữ ABC - Chi tiết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Phan Minh Phu Nguyen</cp:lastModifiedBy>
  <dcterms:created xsi:type="dcterms:W3CDTF">2026-10-05T10:23:56Z</dcterms:created>
  <dcterms:modified xsi:type="dcterms:W3CDTF">2026-10-05T11:01:05Z</dcterms:modified>
</cp:coreProperties>
</file>