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mph\Downloads\"/>
    </mc:Choice>
  </mc:AlternateContent>
  <xr:revisionPtr revIDLastSave="0" documentId="13_ncr:1_{1C731153-3339-45E8-A14A-39E6BFF281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ói cơ bản" sheetId="1" r:id="rId1"/>
  </sheets>
  <calcPr calcId="191029"/>
</workbook>
</file>

<file path=xl/calcChain.xml><?xml version="1.0" encoding="utf-8"?>
<calcChain xmlns="http://schemas.openxmlformats.org/spreadsheetml/2006/main">
  <c r="F44" i="1" l="1"/>
  <c r="G44" i="1"/>
  <c r="H44" i="1"/>
  <c r="I44" i="1"/>
  <c r="J44" i="1"/>
  <c r="E44" i="1"/>
  <c r="F35" i="1"/>
  <c r="G35" i="1"/>
  <c r="H35" i="1"/>
  <c r="I35" i="1"/>
  <c r="J35" i="1"/>
  <c r="E35" i="1"/>
</calcChain>
</file>

<file path=xl/sharedStrings.xml><?xml version="1.0" encoding="utf-8"?>
<sst xmlns="http://schemas.openxmlformats.org/spreadsheetml/2006/main" count="253" uniqueCount="101">
  <si>
    <t>STT</t>
  </si>
  <si>
    <t>Tên chức năng</t>
  </si>
  <si>
    <t>Mã hạng mục 1</t>
  </si>
  <si>
    <t>Mã hạng mục 2</t>
  </si>
  <si>
    <t>Landing page</t>
  </si>
  <si>
    <t>Website giới thiệu</t>
  </si>
  <si>
    <t>Website + CMS</t>
  </si>
  <si>
    <t>CRM</t>
  </si>
  <si>
    <t>Hệ thống quản lý</t>
  </si>
  <si>
    <t>Zalo Mini App</t>
  </si>
  <si>
    <t>Giá đề xuất (chưa VAT)</t>
  </si>
  <si>
    <t>Phí hàng tháng sau go-live (gói đề xuất)</t>
  </si>
  <si>
    <t>Landing page một trang, hiển thị tốt trên điện thoại</t>
  </si>
  <si>
    <t>3.1</t>
  </si>
  <si>
    <t>✔ Có</t>
  </si>
  <si>
    <t>✘ Không</t>
  </si>
  <si>
    <t>Website nhiều trang: giới thiệu, sản phẩm/dịch vụ, tin tức</t>
  </si>
  <si>
    <t>3.2</t>
  </si>
  <si>
    <t>Thiết kế theo bộ nhận diện thương hiệu</t>
  </si>
  <si>
    <t>2.1</t>
  </si>
  <si>
    <t>Tối ưu tốc độ và SEO kỹ thuật</t>
  </si>
  <si>
    <t>3.3</t>
  </si>
  <si>
    <t>Form liên hệ, thư gửi về email</t>
  </si>
  <si>
    <t>3.4</t>
  </si>
  <si>
    <t>Theo dõi truy cập (Analytics, Pixel)</t>
  </si>
  <si>
    <t>9.2</t>
  </si>
  <si>
    <t>Tự cập nhật bài viết và trang (CMS)</t>
  </si>
  <si>
    <t>5.1</t>
  </si>
  <si>
    <t>Thư viện ảnh, video</t>
  </si>
  <si>
    <t>5.2</t>
  </si>
  <si>
    <t>Quản lý menu, banner, SEO từng trang</t>
  </si>
  <si>
    <t>5.3</t>
  </si>
  <si>
    <t>Đăng bài theo lịch, khôi phục phiên bản cũ</t>
  </si>
  <si>
    <t>5.4</t>
  </si>
  <si>
    <t>Trang quản trị, đăng nhập, phân quyền theo vai trò</t>
  </si>
  <si>
    <t>4.2</t>
  </si>
  <si>
    <t>Quản lý khách hàng và liên hệ</t>
  </si>
  <si>
    <t>6.1</t>
  </si>
  <si>
    <t>Pipeline cơ hội dạng kanban</t>
  </si>
  <si>
    <t>6.2</t>
  </si>
  <si>
    <t>Báo giá, hợp đồng mẫu xuất PDF</t>
  </si>
  <si>
    <t>6.4</t>
  </si>
  <si>
    <t>Dashboard và báo cáo tổng quan</t>
  </si>
  <si>
    <t>7.8</t>
  </si>
  <si>
    <t>6.5</t>
  </si>
  <si>
    <t>Nhập và xuất Excel</t>
  </si>
  <si>
    <t>4.6</t>
  </si>
  <si>
    <t>Email thông báo tự động</t>
  </si>
  <si>
    <t>9.1</t>
  </si>
  <si>
    <t>Ứng dụng chạy trong Zalo (Mini App)</t>
  </si>
  <si>
    <t>3.7</t>
  </si>
  <si>
    <t>Lưu cục bộ, đồng bộ Excel/OneDrive</t>
  </si>
  <si>
    <t>4.7</t>
  </si>
  <si>
    <t>Thanh toán trong Mini App hoặc cổng thanh toán</t>
  </si>
  <si>
    <t>8.4</t>
  </si>
  <si>
    <t>9.4</t>
  </si>
  <si>
    <t>＋ Tùy chọn</t>
  </si>
  <si>
    <t>Hỗ trợ đa ngôn ngữ (Việt/Anh)</t>
  </si>
  <si>
    <t>3.8</t>
  </si>
  <si>
    <t>Tích hợp ERP, kế toán hoặc hệ thống có sẵn</t>
  </si>
  <si>
    <t>9.5</t>
  </si>
  <si>
    <t>Phí hàng tháng sau go-live (VND/tháng, chưa VAT)</t>
  </si>
  <si>
    <t>Chu kỳ</t>
  </si>
  <si>
    <t>Đơn giá</t>
  </si>
  <si>
    <t>I. HẠ TẦNG (chi phí nhà cung cấp, tính theo hóa đơn thực tế)</t>
  </si>
  <si>
    <t>VPS (máy chủ ảo 2 vCPU / 4 GB RAM)</t>
  </si>
  <si>
    <t>tháng</t>
  </si>
  <si>
    <t>400.000/tháng</t>
  </si>
  <si>
    <t>Hosting website tĩnh / CDN</t>
  </si>
  <si>
    <t>100.000/tháng</t>
  </si>
  <si>
    <t>Tên miền (.com / .vn), quy ra tháng</t>
  </si>
  <si>
    <t>năm</t>
  </si>
  <si>
    <t>khoảng 420.000/năm</t>
  </si>
  <si>
    <t>Chứng chỉ SSL (Let's Encrypt)</t>
  </si>
  <si>
    <t>miễn phí</t>
  </si>
  <si>
    <t>Miễn phí</t>
  </si>
  <si>
    <t>Lưu trữ sao lưu (ngoài máy chủ)</t>
  </si>
  <si>
    <t>II. DỊCH VỤ VẬN HÀNH (phí dịch vụ)</t>
  </si>
  <si>
    <t>Monitoring: giám sát uptime và hiệu năng</t>
  </si>
  <si>
    <t>50.000 đến 250.000/tháng</t>
  </si>
  <si>
    <t>Alert: cảnh báo sự cố qua email, Zalo, Telegram</t>
  </si>
  <si>
    <t>30.000 đến 150.000/tháng</t>
  </si>
  <si>
    <t>Sao lưu: tự động hằng ngày, kiểm tra khôi phục</t>
  </si>
  <si>
    <t>40.000 đến 150.000/tháng</t>
  </si>
  <si>
    <t>Bảo trì: cập nhật bản vá bảo mật, thư viện, báo cáo tháng</t>
  </si>
  <si>
    <t>80.000 đến 400.000/tháng</t>
  </si>
  <si>
    <t>Sửa chữa lỗi (gồm 1 giờ/tháng gói Cơ bản, 5 giờ/tháng gói Tiêu chuẩn)</t>
  </si>
  <si>
    <t>giờ</t>
  </si>
  <si>
    <t>150.000/giờ</t>
  </si>
  <si>
    <t>Thêm tính năng nhỏ (gồm 2 giờ/tháng gói Tiêu chuẩn, gói Cơ bản tính riêng)</t>
  </si>
  <si>
    <t>Tính riêng</t>
  </si>
  <si>
    <t>TỔNG PHÍ HÀNG THÁNG</t>
  </si>
  <si>
    <t>Tổng mỗi năm</t>
  </si>
  <si>
    <t>Gói vận hành Cơ bản áp dụng cho Landing page, Website giới thiệu, Zalo Mini App. Gói Tiêu chuẩn áp dụng cho Website + CMS, CRM, Hệ thống quản lý.</t>
  </si>
  <si>
    <t>Giờ sửa chữa hoặc thêm tính năng vượt số giờ trong gói tính 150.000/giờ. Giờ không dùng hết không cộng dồn sang tháng sau.</t>
  </si>
  <si>
    <t>Mục I là chi phí của nhà cung cấp, báo theo hóa đơn thực tế, khách có thể tự thanh toán trực tiếp. Mục II là phí dịch vụ.</t>
  </si>
  <si>
    <t>65.000/tháng</t>
  </si>
  <si>
    <t>Tổng hạ tầng hàng tháng</t>
  </si>
  <si>
    <t>Tổng hạ tầng mỗi năm</t>
  </si>
  <si>
    <t>Tổng dịch vụ vận hành hàng tháng</t>
  </si>
  <si>
    <t>Tổng dịch vụ vận hành mỗi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</si>
</sst>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rgb="FF47556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1F5F9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5" borderId="2" xfId="0" applyFont="1" applyFill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164" fontId="5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4" fontId="5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B45309"/>
        <name val="Arial"/>
      </font>
    </dxf>
    <dxf>
      <font>
        <color rgb="FFDC2626"/>
        <name val="Arial"/>
      </font>
    </dxf>
    <dxf>
      <font>
        <b/>
        <color rgb="FF15803D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G35" sqref="G35"/>
    </sheetView>
  </sheetViews>
  <sheetFormatPr defaultRowHeight="15" x14ac:dyDescent="0.25"/>
  <cols>
    <col min="1" max="1" width="9.28515625" bestFit="1" customWidth="1"/>
    <col min="2" max="2" width="66.5703125" bestFit="1" customWidth="1"/>
    <col min="3" max="3" width="14.28515625" bestFit="1" customWidth="1"/>
    <col min="4" max="4" width="22.85546875" bestFit="1" customWidth="1"/>
    <col min="5" max="5" width="12.5703125" bestFit="1" customWidth="1"/>
    <col min="6" max="6" width="18" bestFit="1" customWidth="1"/>
    <col min="7" max="7" width="14.5703125" bestFit="1" customWidth="1"/>
    <col min="8" max="8" width="14" customWidth="1"/>
    <col min="9" max="9" width="16" bestFit="1" customWidth="1"/>
    <col min="10" max="10" width="1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3" t="s">
        <v>10</v>
      </c>
      <c r="C2" s="2"/>
      <c r="D2" s="2"/>
      <c r="E2" s="4">
        <v>5000000</v>
      </c>
      <c r="F2" s="4">
        <v>12000000</v>
      </c>
      <c r="G2" s="4">
        <v>30000000</v>
      </c>
      <c r="H2" s="4">
        <v>90000000</v>
      </c>
      <c r="I2" s="4">
        <v>160000000</v>
      </c>
      <c r="J2" s="4">
        <v>30000000</v>
      </c>
    </row>
    <row r="3" spans="1:10" x14ac:dyDescent="0.25">
      <c r="A3" s="2"/>
      <c r="B3" s="3" t="s">
        <v>11</v>
      </c>
      <c r="C3" s="2"/>
      <c r="D3" s="2"/>
      <c r="E3" s="5">
        <v>500000</v>
      </c>
      <c r="F3" s="5">
        <v>500000</v>
      </c>
      <c r="G3" s="5">
        <v>2500000</v>
      </c>
      <c r="H3" s="5">
        <v>2500000</v>
      </c>
      <c r="I3" s="5">
        <v>2500000</v>
      </c>
      <c r="J3" s="5">
        <v>500000</v>
      </c>
    </row>
    <row r="4" spans="1:10" x14ac:dyDescent="0.25">
      <c r="A4" s="6">
        <v>1</v>
      </c>
      <c r="B4" s="7" t="s">
        <v>12</v>
      </c>
      <c r="C4" s="8" t="s">
        <v>13</v>
      </c>
      <c r="D4" s="8"/>
      <c r="E4" s="6" t="s">
        <v>14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</row>
    <row r="5" spans="1:10" x14ac:dyDescent="0.25">
      <c r="A5" s="6">
        <v>2</v>
      </c>
      <c r="B5" s="7" t="s">
        <v>16</v>
      </c>
      <c r="C5" s="8" t="s">
        <v>17</v>
      </c>
      <c r="D5" s="8"/>
      <c r="E5" s="6" t="s">
        <v>15</v>
      </c>
      <c r="F5" s="6" t="s">
        <v>14</v>
      </c>
      <c r="G5" s="6" t="s">
        <v>14</v>
      </c>
      <c r="H5" s="6" t="s">
        <v>15</v>
      </c>
      <c r="I5" s="6" t="s">
        <v>15</v>
      </c>
      <c r="J5" s="6" t="s">
        <v>15</v>
      </c>
    </row>
    <row r="6" spans="1:10" x14ac:dyDescent="0.25">
      <c r="A6" s="6">
        <v>3</v>
      </c>
      <c r="B6" s="7" t="s">
        <v>18</v>
      </c>
      <c r="C6" s="8" t="s">
        <v>19</v>
      </c>
      <c r="D6" s="8"/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</row>
    <row r="7" spans="1:10" x14ac:dyDescent="0.25">
      <c r="A7" s="6">
        <v>4</v>
      </c>
      <c r="B7" s="7" t="s">
        <v>20</v>
      </c>
      <c r="C7" s="8" t="s">
        <v>21</v>
      </c>
      <c r="D7" s="8"/>
      <c r="E7" s="6" t="s">
        <v>14</v>
      </c>
      <c r="F7" s="6" t="s">
        <v>14</v>
      </c>
      <c r="G7" s="6" t="s">
        <v>14</v>
      </c>
      <c r="H7" s="6" t="s">
        <v>15</v>
      </c>
      <c r="I7" s="6" t="s">
        <v>15</v>
      </c>
      <c r="J7" s="6" t="s">
        <v>15</v>
      </c>
    </row>
    <row r="8" spans="1:10" x14ac:dyDescent="0.25">
      <c r="A8" s="6">
        <v>5</v>
      </c>
      <c r="B8" s="7" t="s">
        <v>22</v>
      </c>
      <c r="C8" s="8" t="s">
        <v>23</v>
      </c>
      <c r="D8" s="8"/>
      <c r="E8" s="6" t="s">
        <v>14</v>
      </c>
      <c r="F8" s="6" t="s">
        <v>14</v>
      </c>
      <c r="G8" s="6" t="s">
        <v>14</v>
      </c>
      <c r="H8" s="6" t="s">
        <v>14</v>
      </c>
      <c r="I8" s="6" t="s">
        <v>15</v>
      </c>
      <c r="J8" s="6" t="s">
        <v>15</v>
      </c>
    </row>
    <row r="9" spans="1:10" x14ac:dyDescent="0.25">
      <c r="A9" s="6">
        <v>6</v>
      </c>
      <c r="B9" s="7" t="s">
        <v>24</v>
      </c>
      <c r="C9" s="8" t="s">
        <v>25</v>
      </c>
      <c r="D9" s="8"/>
      <c r="E9" s="6" t="s">
        <v>14</v>
      </c>
      <c r="F9" s="6" t="s">
        <v>14</v>
      </c>
      <c r="G9" s="6" t="s">
        <v>14</v>
      </c>
      <c r="H9" s="6" t="s">
        <v>15</v>
      </c>
      <c r="I9" s="6" t="s">
        <v>15</v>
      </c>
      <c r="J9" s="6" t="s">
        <v>15</v>
      </c>
    </row>
    <row r="10" spans="1:10" x14ac:dyDescent="0.25">
      <c r="A10" s="6">
        <v>7</v>
      </c>
      <c r="B10" s="7" t="s">
        <v>26</v>
      </c>
      <c r="C10" s="8" t="s">
        <v>27</v>
      </c>
      <c r="D10" s="8"/>
      <c r="E10" s="6" t="s">
        <v>15</v>
      </c>
      <c r="F10" s="6" t="s">
        <v>15</v>
      </c>
      <c r="G10" s="6" t="s">
        <v>14</v>
      </c>
      <c r="H10" s="6" t="s">
        <v>15</v>
      </c>
      <c r="I10" s="6" t="s">
        <v>15</v>
      </c>
      <c r="J10" s="6" t="s">
        <v>15</v>
      </c>
    </row>
    <row r="11" spans="1:10" x14ac:dyDescent="0.25">
      <c r="A11" s="6">
        <v>8</v>
      </c>
      <c r="B11" s="7" t="s">
        <v>28</v>
      </c>
      <c r="C11" s="8" t="s">
        <v>29</v>
      </c>
      <c r="D11" s="8"/>
      <c r="E11" s="6" t="s">
        <v>15</v>
      </c>
      <c r="F11" s="6" t="s">
        <v>15</v>
      </c>
      <c r="G11" s="6" t="s">
        <v>14</v>
      </c>
      <c r="H11" s="6" t="s">
        <v>15</v>
      </c>
      <c r="I11" s="6" t="s">
        <v>15</v>
      </c>
      <c r="J11" s="6" t="s">
        <v>15</v>
      </c>
    </row>
    <row r="12" spans="1:10" x14ac:dyDescent="0.25">
      <c r="A12" s="6">
        <v>9</v>
      </c>
      <c r="B12" s="7" t="s">
        <v>30</v>
      </c>
      <c r="C12" s="8" t="s">
        <v>31</v>
      </c>
      <c r="D12" s="8"/>
      <c r="E12" s="6" t="s">
        <v>15</v>
      </c>
      <c r="F12" s="6" t="s">
        <v>15</v>
      </c>
      <c r="G12" s="6" t="s">
        <v>14</v>
      </c>
      <c r="H12" s="6" t="s">
        <v>15</v>
      </c>
      <c r="I12" s="6" t="s">
        <v>15</v>
      </c>
      <c r="J12" s="6" t="s">
        <v>15</v>
      </c>
    </row>
    <row r="13" spans="1:10" x14ac:dyDescent="0.25">
      <c r="A13" s="6">
        <v>10</v>
      </c>
      <c r="B13" s="7" t="s">
        <v>32</v>
      </c>
      <c r="C13" s="8" t="s">
        <v>33</v>
      </c>
      <c r="D13" s="8"/>
      <c r="E13" s="6" t="s">
        <v>15</v>
      </c>
      <c r="F13" s="6" t="s">
        <v>15</v>
      </c>
      <c r="G13" s="6" t="s">
        <v>14</v>
      </c>
      <c r="H13" s="6" t="s">
        <v>15</v>
      </c>
      <c r="I13" s="6" t="s">
        <v>15</v>
      </c>
      <c r="J13" s="6" t="s">
        <v>15</v>
      </c>
    </row>
    <row r="14" spans="1:10" x14ac:dyDescent="0.25">
      <c r="A14" s="6">
        <v>11</v>
      </c>
      <c r="B14" s="7" t="s">
        <v>34</v>
      </c>
      <c r="C14" s="8" t="s">
        <v>35</v>
      </c>
      <c r="D14" s="8"/>
      <c r="E14" s="6" t="s">
        <v>15</v>
      </c>
      <c r="F14" s="6" t="s">
        <v>15</v>
      </c>
      <c r="G14" s="6" t="s">
        <v>14</v>
      </c>
      <c r="H14" s="6" t="s">
        <v>14</v>
      </c>
      <c r="I14" s="6" t="s">
        <v>14</v>
      </c>
      <c r="J14" s="6" t="s">
        <v>15</v>
      </c>
    </row>
    <row r="15" spans="1:10" x14ac:dyDescent="0.25">
      <c r="A15" s="6">
        <v>12</v>
      </c>
      <c r="B15" s="7" t="s">
        <v>36</v>
      </c>
      <c r="C15" s="8" t="s">
        <v>37</v>
      </c>
      <c r="D15" s="8"/>
      <c r="E15" s="6" t="s">
        <v>15</v>
      </c>
      <c r="F15" s="6" t="s">
        <v>15</v>
      </c>
      <c r="G15" s="6" t="s">
        <v>15</v>
      </c>
      <c r="H15" s="6" t="s">
        <v>14</v>
      </c>
      <c r="I15" s="6" t="s">
        <v>15</v>
      </c>
      <c r="J15" s="6" t="s">
        <v>15</v>
      </c>
    </row>
    <row r="16" spans="1:10" x14ac:dyDescent="0.25">
      <c r="A16" s="6">
        <v>13</v>
      </c>
      <c r="B16" s="7" t="s">
        <v>38</v>
      </c>
      <c r="C16" s="8" t="s">
        <v>39</v>
      </c>
      <c r="D16" s="8"/>
      <c r="E16" s="6" t="s">
        <v>15</v>
      </c>
      <c r="F16" s="6" t="s">
        <v>15</v>
      </c>
      <c r="G16" s="6" t="s">
        <v>15</v>
      </c>
      <c r="H16" s="6" t="s">
        <v>14</v>
      </c>
      <c r="I16" s="6" t="s">
        <v>15</v>
      </c>
      <c r="J16" s="6" t="s">
        <v>15</v>
      </c>
    </row>
    <row r="17" spans="1:10" x14ac:dyDescent="0.25">
      <c r="A17" s="6">
        <v>14</v>
      </c>
      <c r="B17" s="7" t="s">
        <v>40</v>
      </c>
      <c r="C17" s="8" t="s">
        <v>41</v>
      </c>
      <c r="D17" s="8"/>
      <c r="E17" s="6" t="s">
        <v>15</v>
      </c>
      <c r="F17" s="6" t="s">
        <v>15</v>
      </c>
      <c r="G17" s="6" t="s">
        <v>15</v>
      </c>
      <c r="H17" s="6" t="s">
        <v>14</v>
      </c>
      <c r="I17" s="6" t="s">
        <v>15</v>
      </c>
      <c r="J17" s="6" t="s">
        <v>15</v>
      </c>
    </row>
    <row r="18" spans="1:10" x14ac:dyDescent="0.25">
      <c r="A18" s="6">
        <v>15</v>
      </c>
      <c r="B18" s="7" t="s">
        <v>42</v>
      </c>
      <c r="C18" s="8" t="s">
        <v>43</v>
      </c>
      <c r="D18" s="8" t="s">
        <v>44</v>
      </c>
      <c r="E18" s="6" t="s">
        <v>15</v>
      </c>
      <c r="F18" s="6" t="s">
        <v>15</v>
      </c>
      <c r="G18" s="6" t="s">
        <v>15</v>
      </c>
      <c r="H18" s="6" t="s">
        <v>14</v>
      </c>
      <c r="I18" s="6" t="s">
        <v>14</v>
      </c>
      <c r="J18" s="6" t="s">
        <v>15</v>
      </c>
    </row>
    <row r="19" spans="1:10" x14ac:dyDescent="0.25">
      <c r="A19" s="6">
        <v>16</v>
      </c>
      <c r="B19" s="7" t="s">
        <v>45</v>
      </c>
      <c r="C19" s="8" t="s">
        <v>46</v>
      </c>
      <c r="D19" s="8"/>
      <c r="E19" s="6" t="s">
        <v>15</v>
      </c>
      <c r="F19" s="6" t="s">
        <v>15</v>
      </c>
      <c r="G19" s="6" t="s">
        <v>15</v>
      </c>
      <c r="H19" s="6" t="s">
        <v>14</v>
      </c>
      <c r="I19" s="6" t="s">
        <v>14</v>
      </c>
      <c r="J19" s="6" t="s">
        <v>15</v>
      </c>
    </row>
    <row r="20" spans="1:10" x14ac:dyDescent="0.25">
      <c r="A20" s="6">
        <v>17</v>
      </c>
      <c r="B20" s="7" t="s">
        <v>47</v>
      </c>
      <c r="C20" s="8" t="s">
        <v>48</v>
      </c>
      <c r="D20" s="8"/>
      <c r="E20" s="6" t="s">
        <v>15</v>
      </c>
      <c r="F20" s="6" t="s">
        <v>15</v>
      </c>
      <c r="G20" s="6" t="s">
        <v>15</v>
      </c>
      <c r="H20" s="6" t="s">
        <v>14</v>
      </c>
      <c r="I20" s="6" t="s">
        <v>14</v>
      </c>
      <c r="J20" s="6" t="s">
        <v>15</v>
      </c>
    </row>
    <row r="21" spans="1:10" x14ac:dyDescent="0.25">
      <c r="A21" s="6">
        <v>18</v>
      </c>
      <c r="B21" s="7" t="s">
        <v>49</v>
      </c>
      <c r="C21" s="8" t="s">
        <v>50</v>
      </c>
      <c r="D21" s="8"/>
      <c r="E21" s="6" t="s">
        <v>15</v>
      </c>
      <c r="F21" s="6" t="s">
        <v>15</v>
      </c>
      <c r="G21" s="6" t="s">
        <v>15</v>
      </c>
      <c r="H21" s="6" t="s">
        <v>15</v>
      </c>
      <c r="I21" s="6" t="s">
        <v>15</v>
      </c>
      <c r="J21" s="6" t="s">
        <v>14</v>
      </c>
    </row>
    <row r="22" spans="1:10" x14ac:dyDescent="0.25">
      <c r="A22" s="6">
        <v>19</v>
      </c>
      <c r="B22" s="7" t="s">
        <v>51</v>
      </c>
      <c r="C22" s="8" t="s">
        <v>52</v>
      </c>
      <c r="D22" s="8"/>
      <c r="E22" s="6" t="s">
        <v>15</v>
      </c>
      <c r="F22" s="6" t="s">
        <v>15</v>
      </c>
      <c r="G22" s="6" t="s">
        <v>15</v>
      </c>
      <c r="H22" s="6" t="s">
        <v>15</v>
      </c>
      <c r="I22" s="6" t="s">
        <v>15</v>
      </c>
      <c r="J22" s="6" t="s">
        <v>14</v>
      </c>
    </row>
    <row r="23" spans="1:10" x14ac:dyDescent="0.25">
      <c r="A23" s="6">
        <v>20</v>
      </c>
      <c r="B23" s="7" t="s">
        <v>53</v>
      </c>
      <c r="C23" s="8" t="s">
        <v>54</v>
      </c>
      <c r="D23" s="8" t="s">
        <v>55</v>
      </c>
      <c r="E23" s="6" t="s">
        <v>15</v>
      </c>
      <c r="F23" s="6" t="s">
        <v>15</v>
      </c>
      <c r="G23" s="6" t="s">
        <v>15</v>
      </c>
      <c r="H23" s="6" t="s">
        <v>56</v>
      </c>
      <c r="I23" s="6" t="s">
        <v>56</v>
      </c>
      <c r="J23" s="6" t="s">
        <v>56</v>
      </c>
    </row>
    <row r="24" spans="1:10" x14ac:dyDescent="0.25">
      <c r="A24" s="6">
        <v>21</v>
      </c>
      <c r="B24" s="7" t="s">
        <v>57</v>
      </c>
      <c r="C24" s="8" t="s">
        <v>58</v>
      </c>
      <c r="D24" s="8"/>
      <c r="E24" s="6" t="s">
        <v>56</v>
      </c>
      <c r="F24" s="6" t="s">
        <v>56</v>
      </c>
      <c r="G24" s="6" t="s">
        <v>56</v>
      </c>
      <c r="H24" s="6" t="s">
        <v>56</v>
      </c>
      <c r="I24" s="6" t="s">
        <v>56</v>
      </c>
      <c r="J24" s="6" t="s">
        <v>56</v>
      </c>
    </row>
    <row r="25" spans="1:10" x14ac:dyDescent="0.25">
      <c r="A25" s="6">
        <v>22</v>
      </c>
      <c r="B25" s="7" t="s">
        <v>59</v>
      </c>
      <c r="C25" s="8" t="s">
        <v>60</v>
      </c>
      <c r="D25" s="8"/>
      <c r="E25" s="6" t="s">
        <v>15</v>
      </c>
      <c r="F25" s="6" t="s">
        <v>15</v>
      </c>
      <c r="G25" s="6" t="s">
        <v>15</v>
      </c>
      <c r="H25" s="6" t="s">
        <v>56</v>
      </c>
      <c r="I25" s="6" t="s">
        <v>56</v>
      </c>
      <c r="J25" s="6" t="s">
        <v>15</v>
      </c>
    </row>
    <row r="27" spans="1:10" x14ac:dyDescent="0.25">
      <c r="A27" s="1" t="s">
        <v>0</v>
      </c>
      <c r="B27" s="1" t="s">
        <v>61</v>
      </c>
      <c r="C27" s="1" t="s">
        <v>62</v>
      </c>
      <c r="D27" s="1" t="s">
        <v>63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</row>
    <row r="28" spans="1:10" x14ac:dyDescent="0.25">
      <c r="A28" s="9"/>
      <c r="B28" s="9" t="s">
        <v>64</v>
      </c>
      <c r="C28" s="9"/>
      <c r="D28" s="9"/>
      <c r="E28" s="9"/>
      <c r="F28" s="9"/>
      <c r="G28" s="9"/>
      <c r="H28" s="9"/>
      <c r="I28" s="9"/>
      <c r="J28" s="9"/>
    </row>
    <row r="29" spans="1:10" x14ac:dyDescent="0.25">
      <c r="A29" s="10">
        <v>1</v>
      </c>
      <c r="B29" s="11" t="s">
        <v>65</v>
      </c>
      <c r="C29" s="10" t="s">
        <v>66</v>
      </c>
      <c r="D29" s="10" t="s">
        <v>67</v>
      </c>
      <c r="E29" s="12">
        <v>0</v>
      </c>
      <c r="F29" s="12">
        <v>0</v>
      </c>
      <c r="G29" s="12">
        <v>400000</v>
      </c>
      <c r="H29" s="12">
        <v>400000</v>
      </c>
      <c r="I29" s="12">
        <v>400000</v>
      </c>
      <c r="J29" s="12">
        <v>0</v>
      </c>
    </row>
    <row r="30" spans="1:10" x14ac:dyDescent="0.25">
      <c r="A30" s="10">
        <v>2</v>
      </c>
      <c r="B30" s="11" t="s">
        <v>68</v>
      </c>
      <c r="C30" s="10" t="s">
        <v>66</v>
      </c>
      <c r="D30" s="10" t="s">
        <v>69</v>
      </c>
      <c r="E30" s="12">
        <v>100000</v>
      </c>
      <c r="F30" s="12">
        <v>100000</v>
      </c>
      <c r="G30" s="12">
        <v>0</v>
      </c>
      <c r="H30" s="12">
        <v>0</v>
      </c>
      <c r="I30" s="12">
        <v>0</v>
      </c>
      <c r="J30" s="12">
        <v>100000</v>
      </c>
    </row>
    <row r="31" spans="1:10" x14ac:dyDescent="0.25">
      <c r="A31" s="10">
        <v>3</v>
      </c>
      <c r="B31" s="11" t="s">
        <v>70</v>
      </c>
      <c r="C31" s="10" t="s">
        <v>71</v>
      </c>
      <c r="D31" s="10" t="s">
        <v>72</v>
      </c>
      <c r="E31" s="12">
        <v>35000</v>
      </c>
      <c r="F31" s="12">
        <v>35000</v>
      </c>
      <c r="G31" s="12">
        <v>35000</v>
      </c>
      <c r="H31" s="12">
        <v>35000</v>
      </c>
      <c r="I31" s="12">
        <v>35000</v>
      </c>
      <c r="J31" s="12">
        <v>35000</v>
      </c>
    </row>
    <row r="32" spans="1:10" x14ac:dyDescent="0.25">
      <c r="A32" s="10">
        <v>4</v>
      </c>
      <c r="B32" s="11" t="s">
        <v>73</v>
      </c>
      <c r="C32" s="10" t="s">
        <v>71</v>
      </c>
      <c r="D32" s="10" t="s">
        <v>74</v>
      </c>
      <c r="E32" s="13" t="s">
        <v>75</v>
      </c>
      <c r="F32" s="13" t="s">
        <v>75</v>
      </c>
      <c r="G32" s="13" t="s">
        <v>75</v>
      </c>
      <c r="H32" s="13" t="s">
        <v>75</v>
      </c>
      <c r="I32" s="13" t="s">
        <v>75</v>
      </c>
      <c r="J32" s="13" t="s">
        <v>75</v>
      </c>
    </row>
    <row r="33" spans="1:10" x14ac:dyDescent="0.25">
      <c r="A33" s="10">
        <v>5</v>
      </c>
      <c r="B33" s="11" t="s">
        <v>76</v>
      </c>
      <c r="C33" s="10" t="s">
        <v>66</v>
      </c>
      <c r="D33" s="10" t="s">
        <v>96</v>
      </c>
      <c r="E33" s="12">
        <v>65000</v>
      </c>
      <c r="F33" s="12">
        <v>65000</v>
      </c>
      <c r="G33" s="12">
        <v>65000</v>
      </c>
      <c r="H33" s="12">
        <v>65000</v>
      </c>
      <c r="I33" s="12">
        <v>65000</v>
      </c>
      <c r="J33" s="12">
        <v>65000</v>
      </c>
    </row>
    <row r="34" spans="1:10" x14ac:dyDescent="0.25">
      <c r="A34" s="14"/>
      <c r="B34" s="15" t="s">
        <v>97</v>
      </c>
      <c r="C34" s="14"/>
      <c r="D34" s="14"/>
      <c r="E34" s="16">
        <v>150000</v>
      </c>
      <c r="F34" s="16">
        <v>150000</v>
      </c>
      <c r="G34" s="16">
        <v>500000</v>
      </c>
      <c r="H34" s="16">
        <v>500000</v>
      </c>
      <c r="I34" s="16">
        <v>500000</v>
      </c>
      <c r="J34" s="16">
        <v>150000</v>
      </c>
    </row>
    <row r="35" spans="1:10" x14ac:dyDescent="0.25">
      <c r="A35" s="14"/>
      <c r="B35" s="15" t="s">
        <v>98</v>
      </c>
      <c r="C35" s="14"/>
      <c r="D35" s="14"/>
      <c r="E35" s="16">
        <f>E34*12</f>
        <v>1800000</v>
      </c>
      <c r="F35" s="16">
        <f t="shared" ref="F35:J35" si="0">F34*12</f>
        <v>1800000</v>
      </c>
      <c r="G35" s="16">
        <f t="shared" si="0"/>
        <v>6000000</v>
      </c>
      <c r="H35" s="16">
        <f t="shared" si="0"/>
        <v>6000000</v>
      </c>
      <c r="I35" s="16">
        <f t="shared" si="0"/>
        <v>6000000</v>
      </c>
      <c r="J35" s="16">
        <f t="shared" si="0"/>
        <v>1800000</v>
      </c>
    </row>
    <row r="36" spans="1:10" x14ac:dyDescent="0.25">
      <c r="A36" s="9"/>
      <c r="B36" s="9" t="s">
        <v>77</v>
      </c>
      <c r="C36" s="9"/>
      <c r="D36" s="9"/>
      <c r="E36" s="9"/>
      <c r="F36" s="9"/>
      <c r="G36" s="9"/>
      <c r="H36" s="9"/>
      <c r="I36" s="9"/>
      <c r="J36" s="9"/>
    </row>
    <row r="37" spans="1:10" x14ac:dyDescent="0.25">
      <c r="A37" s="10">
        <v>6</v>
      </c>
      <c r="B37" s="11" t="s">
        <v>78</v>
      </c>
      <c r="C37" s="10" t="s">
        <v>66</v>
      </c>
      <c r="D37" s="10" t="s">
        <v>79</v>
      </c>
      <c r="E37" s="12">
        <v>50000</v>
      </c>
      <c r="F37" s="12">
        <v>50000</v>
      </c>
      <c r="G37" s="12">
        <v>250000</v>
      </c>
      <c r="H37" s="12">
        <v>250000</v>
      </c>
      <c r="I37" s="12">
        <v>250000</v>
      </c>
      <c r="J37" s="12">
        <v>50000</v>
      </c>
    </row>
    <row r="38" spans="1:10" x14ac:dyDescent="0.25">
      <c r="A38" s="10">
        <v>7</v>
      </c>
      <c r="B38" s="11" t="s">
        <v>80</v>
      </c>
      <c r="C38" s="10" t="s">
        <v>66</v>
      </c>
      <c r="D38" s="10" t="s">
        <v>81</v>
      </c>
      <c r="E38" s="12">
        <v>30000</v>
      </c>
      <c r="F38" s="12">
        <v>30000</v>
      </c>
      <c r="G38" s="12">
        <v>150000</v>
      </c>
      <c r="H38" s="12">
        <v>150000</v>
      </c>
      <c r="I38" s="12">
        <v>150000</v>
      </c>
      <c r="J38" s="12">
        <v>30000</v>
      </c>
    </row>
    <row r="39" spans="1:10" x14ac:dyDescent="0.25">
      <c r="A39" s="10">
        <v>8</v>
      </c>
      <c r="B39" s="11" t="s">
        <v>82</v>
      </c>
      <c r="C39" s="10" t="s">
        <v>66</v>
      </c>
      <c r="D39" s="10" t="s">
        <v>83</v>
      </c>
      <c r="E39" s="12">
        <v>40000</v>
      </c>
      <c r="F39" s="12">
        <v>40000</v>
      </c>
      <c r="G39" s="12">
        <v>150000</v>
      </c>
      <c r="H39" s="12">
        <v>150000</v>
      </c>
      <c r="I39" s="12">
        <v>150000</v>
      </c>
      <c r="J39" s="12">
        <v>40000</v>
      </c>
    </row>
    <row r="40" spans="1:10" x14ac:dyDescent="0.25">
      <c r="A40" s="10">
        <v>9</v>
      </c>
      <c r="B40" s="11" t="s">
        <v>84</v>
      </c>
      <c r="C40" s="10" t="s">
        <v>66</v>
      </c>
      <c r="D40" s="10" t="s">
        <v>85</v>
      </c>
      <c r="E40" s="12">
        <v>80000</v>
      </c>
      <c r="F40" s="12">
        <v>80000</v>
      </c>
      <c r="G40" s="12">
        <v>400000</v>
      </c>
      <c r="H40" s="12">
        <v>400000</v>
      </c>
      <c r="I40" s="12">
        <v>400000</v>
      </c>
      <c r="J40" s="12">
        <v>80000</v>
      </c>
    </row>
    <row r="41" spans="1:10" x14ac:dyDescent="0.25">
      <c r="A41" s="10">
        <v>10</v>
      </c>
      <c r="B41" s="11" t="s">
        <v>86</v>
      </c>
      <c r="C41" s="10" t="s">
        <v>87</v>
      </c>
      <c r="D41" s="10" t="s">
        <v>88</v>
      </c>
      <c r="E41" s="12">
        <v>150000</v>
      </c>
      <c r="F41" s="12">
        <v>150000</v>
      </c>
      <c r="G41" s="12">
        <v>750000</v>
      </c>
      <c r="H41" s="12">
        <v>750000</v>
      </c>
      <c r="I41" s="12">
        <v>750000</v>
      </c>
      <c r="J41" s="12">
        <v>150000</v>
      </c>
    </row>
    <row r="42" spans="1:10" x14ac:dyDescent="0.25">
      <c r="A42" s="10">
        <v>11</v>
      </c>
      <c r="B42" s="11" t="s">
        <v>89</v>
      </c>
      <c r="C42" s="10" t="s">
        <v>87</v>
      </c>
      <c r="D42" s="10" t="s">
        <v>88</v>
      </c>
      <c r="E42" s="13" t="s">
        <v>90</v>
      </c>
      <c r="F42" s="13" t="s">
        <v>90</v>
      </c>
      <c r="G42" s="12">
        <v>300000</v>
      </c>
      <c r="H42" s="12">
        <v>300000</v>
      </c>
      <c r="I42" s="12">
        <v>300000</v>
      </c>
      <c r="J42" s="13" t="s">
        <v>90</v>
      </c>
    </row>
    <row r="43" spans="1:10" x14ac:dyDescent="0.25">
      <c r="A43" s="14"/>
      <c r="B43" s="15" t="s">
        <v>99</v>
      </c>
      <c r="C43" s="14"/>
      <c r="D43" s="14"/>
      <c r="E43" s="16">
        <v>350000</v>
      </c>
      <c r="F43" s="16">
        <v>350000</v>
      </c>
      <c r="G43" s="16">
        <v>2000000</v>
      </c>
      <c r="H43" s="16">
        <v>2000000</v>
      </c>
      <c r="I43" s="16">
        <v>2000000</v>
      </c>
      <c r="J43" s="16">
        <v>350000</v>
      </c>
    </row>
    <row r="44" spans="1:10" x14ac:dyDescent="0.25">
      <c r="A44" s="14"/>
      <c r="B44" s="15" t="s">
        <v>100</v>
      </c>
      <c r="C44" s="14"/>
      <c r="D44" s="14"/>
      <c r="E44" s="16">
        <f>E43*12</f>
        <v>4200000</v>
      </c>
      <c r="F44" s="16">
        <f t="shared" ref="F44:J44" si="1">F43*12</f>
        <v>4200000</v>
      </c>
      <c r="G44" s="16">
        <f t="shared" si="1"/>
        <v>24000000</v>
      </c>
      <c r="H44" s="16">
        <f t="shared" si="1"/>
        <v>24000000</v>
      </c>
      <c r="I44" s="16">
        <f t="shared" si="1"/>
        <v>24000000</v>
      </c>
      <c r="J44" s="16">
        <f t="shared" si="1"/>
        <v>4200000</v>
      </c>
    </row>
    <row r="45" spans="1:10" x14ac:dyDescent="0.25">
      <c r="A45" s="17"/>
      <c r="B45" s="18" t="s">
        <v>91</v>
      </c>
      <c r="C45" s="17"/>
      <c r="D45" s="17"/>
      <c r="E45" s="19">
        <v>500000</v>
      </c>
      <c r="F45" s="19">
        <v>500000</v>
      </c>
      <c r="G45" s="19">
        <v>2500000</v>
      </c>
      <c r="H45" s="19">
        <v>2500000</v>
      </c>
      <c r="I45" s="19">
        <v>2500000</v>
      </c>
      <c r="J45" s="19">
        <v>500000</v>
      </c>
    </row>
    <row r="46" spans="1:10" x14ac:dyDescent="0.25">
      <c r="A46" s="20"/>
      <c r="B46" s="21" t="s">
        <v>92</v>
      </c>
      <c r="C46" s="20"/>
      <c r="D46" s="20"/>
      <c r="E46" s="22">
        <v>6000000</v>
      </c>
      <c r="F46" s="22">
        <v>6000000</v>
      </c>
      <c r="G46" s="22">
        <v>30000000</v>
      </c>
      <c r="H46" s="22">
        <v>30000000</v>
      </c>
      <c r="I46" s="22">
        <v>30000000</v>
      </c>
      <c r="J46" s="22">
        <v>6000000</v>
      </c>
    </row>
    <row r="48" spans="1:10" ht="36" x14ac:dyDescent="0.25">
      <c r="B48" s="23" t="s">
        <v>93</v>
      </c>
    </row>
    <row r="49" spans="2:2" ht="24" x14ac:dyDescent="0.25">
      <c r="B49" s="23" t="s">
        <v>94</v>
      </c>
    </row>
    <row r="50" spans="2:2" ht="24" x14ac:dyDescent="0.25">
      <c r="B50" s="23" t="s">
        <v>95</v>
      </c>
    </row>
    <row r="51" spans="2:2" x14ac:dyDescent="0.25">
      <c r="B51" s="23"/>
    </row>
  </sheetData>
  <conditionalFormatting sqref="E4:J25">
    <cfRule type="expression" dxfId="2" priority="1">
      <formula>LEFT(E4,1)="✔"</formula>
    </cfRule>
    <cfRule type="expression" dxfId="1" priority="2">
      <formula>LEFT(E4,1)="✘"</formula>
    </cfRule>
    <cfRule type="expression" dxfId="0" priority="3">
      <formula>LEFT(E4,1)="＋"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Gói cơ bản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Minh Phu Nguyen</dc:creator>
  <cp:lastModifiedBy>Phan Minh Phu Nguyen</cp:lastModifiedBy>
  <dcterms:created xsi:type="dcterms:W3CDTF">2026-10-05T10:43:51Z</dcterms:created>
  <dcterms:modified xsi:type="dcterms:W3CDTF">2026-10-05T17:11:46Z</dcterms:modified>
</cp:coreProperties>
</file>